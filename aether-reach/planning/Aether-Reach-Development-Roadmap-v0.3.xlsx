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2fed5dfcf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b1a11e11a4e4f94"/>
    <x:sheet xmlns:r="http://schemas.openxmlformats.org/officeDocument/2006/relationships" name="Roadmap" sheetId="2" r:id="Rd205df413f8a4686"/>
    <x:sheet xmlns:r="http://schemas.openxmlformats.org/officeDocument/2006/relationships" name="Dependencies" sheetId="3" r:id="R99332fadad1a4248"/>
    <x:sheet xmlns:r="http://schemas.openxmlformats.org/officeDocument/2006/relationships" name="Controls" sheetId="4" r:id="R1452385fde3f4f86"/>
    <x:sheet xmlns:r="http://schemas.openxmlformats.org/officeDocument/2006/relationships" name="Physical QA" sheetId="5" r:id="R19f9009830cd4c34"/>
    <x:sheet xmlns:r="http://schemas.openxmlformats.org/officeDocument/2006/relationships" name="Sources" sheetId="6" r:id="Re6bc9cf6f15e4309"/>
    <x:sheet xmlns:r="http://schemas.openxmlformats.org/officeDocument/2006/relationships" name="Weapon Balance" sheetId="7" r:id="Rd5dd534bfee148e4"/>
    <x:sheet xmlns:r="http://schemas.openxmlformats.org/officeDocument/2006/relationships" name="Combat Review" sheetId="8" r:id="R1006f48661394d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0"/>
    <x:numFmt numFmtId="202" formatCode="0.00&quot;×&quot;"/>
  </x:numFmts>
  <x:fonts count="16">
    <x:font>
      <x:sz val="11"/>
      <x:name val="Carlito"/>
    </x:font>
    <x:font>
      <x:b/>
      <x:sz val="24"/>
      <x:color rgb="FFFFFFFF"/>
      <x:name val="Aptos"/>
    </x:font>
    <x:font>
      <x:sz val="12"/>
      <x:color rgb="FF2B6170"/>
      <x:name val="Carlito"/>
    </x:font>
    <x:font>
      <x:b/>
      <x:sz val="11"/>
      <x:color rgb="FF163644"/>
      <x:name val="Carlito"/>
    </x:font>
    <x:font>
      <x:b/>
      <x:sz val="11"/>
      <x:color rgb="FFFFFFFF"/>
      <x:name val="Carlito"/>
    </x:font>
    <x:font>
      <x:b/>
      <x:sz val="20"/>
      <x:color rgb="FFFFFFFF"/>
      <x:name val="Aptos"/>
    </x:font>
    <x:font>
      <x:sz val="10"/>
      <x:color rgb="FF2B6170"/>
      <x:name val="Carlito"/>
    </x:font>
    <x:font>
      <x:sz val="11"/>
      <x:name val="Aptos"/>
    </x:font>
    <x:font>
      <x:b/>
      <x:sz val="11"/>
      <x:color rgb="FFFFFFFF"/>
      <x:name val="Aptos"/>
    </x:font>
    <x:font>
      <x:b/>
      <x:sz val="19"/>
      <x:color rgb="FFFFFFFF"/>
      <x:name val="Carlito"/>
    </x:font>
    <x:font>
      <x:sz val="10"/>
      <x:color rgb="FF486577"/>
      <x:name val="Carlito"/>
    </x:font>
    <x:font>
      <x:b/>
      <x:sz val="11"/>
      <x:color rgb="FF173846"/>
      <x:name val="Aptos"/>
    </x:font>
    <x:font>
      <x:sz val="11"/>
      <x:color rgb="FF173846"/>
      <x:name val="Aptos"/>
    </x:font>
    <x:font>
      <x:sz val="11"/>
      <x:color rgb="FF47677C"/>
      <x:name val="Aptos"/>
    </x:font>
    <x:font>
      <x:b/>
      <x:sz val="18"/>
      <x:color rgb="FF285A69"/>
      <x:name val="Aptos"/>
    </x:font>
    <x:font>
      <x:sz val="11"/>
      <x:color rgb="FFFFFF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63644"/>
      </x:patternFill>
    </x:fill>
    <x:fill>
      <x:patternFill patternType="solid">
        <x:fgColor rgb="FFE5C58C"/>
      </x:patternFill>
    </x:fill>
    <x:fill>
      <x:patternFill patternType="solid">
        <x:fgColor rgb="FFEAF3EF"/>
      </x:patternFill>
    </x:fill>
    <x:fill>
      <x:patternFill patternType="solid">
        <x:fgColor rgb="FF2B6170"/>
      </x:patternFill>
    </x:fill>
    <x:fill>
      <x:patternFill patternType="solid">
        <x:fgColor rgb="FFFFFFFF"/>
      </x:patternFill>
    </x:fill>
    <x:fill>
      <x:patternFill patternType="solid">
        <x:fgColor rgb="FF183846"/>
      </x:patternFill>
    </x:fill>
    <x:fill>
      <x:patternFill patternType="solid">
        <x:fgColor rgb="FF285A69"/>
      </x:patternFill>
    </x:fill>
    <x:fill>
      <x:patternFill patternType="solid">
        <x:fgColor rgb="FFFFFFFF"/>
      </x:patternFill>
    </x:fill>
    <x:fill>
      <x:patternFill patternType="solid">
        <x:fgColor rgb="FF173846"/>
      </x:patternFill>
    </x:fill>
    <x:fill>
      <x:patternFill patternType="solid">
        <x:fgColor rgb="FF2D606F"/>
      </x:patternFill>
    </x:fill>
    <x:fill>
      <x:patternFill patternType="solid">
        <x:fgColor rgb="FFE7F1ED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7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7" fillId="0" borderId="0" xfId="0" applyNumberFormat="1" applyFont="1" applyFill="1" applyBorder="1" applyAlignment="1">
      <x:alignment vertical="top" wrapText="1"/>
    </x:xf>
    <x:xf numFmtId="202" fontId="7" fillId="0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15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865A13"/>
      </x:font>
      <x:fill>
        <x:patternFill>
          <x:bgColor rgb="FFFFF1D6"/>
        </x:patternFill>
      </x:fill>
    </x:dxf>
    <x:dxf>
      <x:font>
        <x:color rgb="FF1B6144"/>
      </x:font>
      <x:fill>
        <x:patternFill>
          <x:bgColor rgb="FFD9F0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5d06addba445d" /><Relationship Type="http://schemas.openxmlformats.org/officeDocument/2006/relationships/theme" Target="/xl/theme/theme1.xml" Id="Rb6b10a4931d44f2b" /><Relationship Type="http://schemas.openxmlformats.org/officeDocument/2006/relationships/sharedStrings" Target="/xl/sharedStrings.xml" Id="Rafd2a2b2f74b4b59" /><Relationship Type="http://schemas.openxmlformats.org/officeDocument/2006/relationships/worksheet" Target="/xl/worksheets/sheet1.xml" Id="R4b1a11e11a4e4f94" /><Relationship Type="http://schemas.openxmlformats.org/officeDocument/2006/relationships/worksheet" Target="/xl/worksheets/sheet2.xml" Id="Rd205df413f8a4686" /><Relationship Type="http://schemas.openxmlformats.org/officeDocument/2006/relationships/worksheet" Target="/xl/worksheets/sheet3.xml" Id="R99332fadad1a4248" /><Relationship Type="http://schemas.openxmlformats.org/officeDocument/2006/relationships/worksheet" Target="/xl/worksheets/sheet4.xml" Id="R1452385fde3f4f86" /><Relationship Type="http://schemas.openxmlformats.org/officeDocument/2006/relationships/worksheet" Target="/xl/worksheets/sheet5.xml" Id="R19f9009830cd4c34" /><Relationship Type="http://schemas.openxmlformats.org/officeDocument/2006/relationships/worksheet" Target="/xl/worksheets/sheet6.xml" Id="Re6bc9cf6f15e4309" /><Relationship Type="http://schemas.openxmlformats.org/officeDocument/2006/relationships/worksheet" Target="/xl/worksheets/sheet7.xml" Id="Rd5dd534bfee148e4" /><Relationship Type="http://schemas.openxmlformats.org/officeDocument/2006/relationships/worksheet" Target="/xl/worksheets/sheet8.xml" Id="R1006f48661394d34" /></Relationships>
</file>

<file path=xl/tables/table1.xml><?xml version="1.0" encoding="utf-8"?>
<x:table xmlns:x="http://schemas.openxmlformats.org/spreadsheetml/2006/main" id="1" name="TblRoadmap" displayName="TblRoadmap" ref="A4:I39" headerRowCount="1" totalsRowCount="0" totalsRowShown="0">
  <x:tableColumns count="9">
    <x:tableColumn id="1" name="ID"/>
    <x:tableColumn id="2" name="Workstream"/>
    <x:tableColumn id="3" name="Priority"/>
    <x:tableColumn id="4" name="Status"/>
    <x:tableColumn id="5" name="Feature / deliverable"/>
    <x:tableColumn id="6" name="Dependencies"/>
    <x:tableColumn id="7" name="Acceptance criteria"/>
    <x:tableColumn id="8" name="Next action"/>
    <x:tableColumn id="9" name="Evidence / 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Dependencies" displayName="TblDependencies" ref="A4:E62" headerRowCount="1" totalsRowCount="0" totalsRowShown="0">
  <x:tableColumns count="5">
    <x:tableColumn id="1" name="Feature ID"/>
    <x:tableColumn id="2" name="Depends on"/>
    <x:tableColumn id="3" name="Feature status"/>
    <x:tableColumn id="4" name="Prerequisite status"/>
    <x:tableColumn id="5" name="Mea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ontrols" displayName="TblControls" ref="A4:D21" headerRowCount="1" totalsRowCount="0" totalsRowShown="0">
  <x:tableColumns count="4">
    <x:tableColumn id="1" name="Action"/>
    <x:tableColumn id="2" name="Xbox / standard controller"/>
    <x:tableColumn id="3" name="Quest XR preview"/>
    <x:tableColumn id="4" name="Sco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PhysicalQA" displayName="TblPhysicalQA" ref="A4:E10" headerRowCount="1" totalsRowCount="0" totalsRowShown="0">
  <x:tableColumns count="5">
    <x:tableColumn id="1" name="Gate"/>
    <x:tableColumn id="2" name="Device / setup"/>
    <x:tableColumn id="3" name="Required checks"/>
    <x:tableColumn id="4" name="Result"/>
    <x:tableColumn id="5" name="Evidence to recor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Sources" displayName="TblSources" ref="A4:D16" headerRowCount="1" totalsRowCount="0" totalsRowShown="0">
  <x:tableColumns count="4">
    <x:tableColumn id="1" name="Source"/>
    <x:tableColumn id="2" name="Use"/>
    <x:tableColumn id="3" name="URL"/>
    <x:tableColumn id="4" name="Qualif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batWeaponBalance" displayName="CombatWeaponBalance" ref="A4:M8" headerRowCount="1" totalsRowCount="0" totalsRowShown="0">
  <x:tableColumns count="13">
    <x:tableColumn id="1" name="Weapon"/>
    <x:tableColumn id="2" name="Cost: game credits"/>
    <x:tableColumn id="3" name="Base damage / pellet"/>
    <x:tableColumn id="4" name="Pellets"/>
    <x:tableColumn id="5" name="Magazine"/>
    <x:tableColumn id="6" name="Shot interval (s)"/>
    <x:tableColumn id="7" name="Reload (s)"/>
    <x:tableColumn id="8" name="Range (m)"/>
    <x:tableColumn id="9" name="Optical factor"/>
    <x:tableColumn id="10" name="Damage tier"/>
    <x:tableColumn id="11" name="Tuned damage"/>
    <x:tableColumn id="12" name="Reload tier"/>
    <x:tableColumn id="13" name="Tuned reload (s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batCombatReview" displayName="CombatCombatReview" ref="A4:E10" headerRowCount="1" totalsRowCount="0" totalsRowShown="0">
  <x:tableColumns count="5">
    <x:tableColumn id="1" name="Gate"/>
    <x:tableColumn id="2" name="Player-visible outcome"/>
    <x:tableColumn id="3" name="Acceptance"/>
    <x:tableColumn id="4" name="Current evidence"/>
    <x:tableColumn id="5" name="Remaining 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94ce4cea0e4f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ecf82e9ec747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54ac0ce21e42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c01c1f34754d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fc53b951cd4f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feed3ddddf41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97e786d2be40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26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0" customHeight="1">
      <x:c r="A1" s="70" t="str">
        <x:v>AETHER REACH / ENGINE ROADMAP</x:v>
      </x:c>
      <x:c r="B1" s="70"/>
      <x:c r="C1" s="70"/>
      <x:c r="D1" s="70"/>
      <x:c r="E1" s="70"/>
      <x:c r="F1" s="78"/>
      <x:c r="G1" s="78"/>
      <x:c r="H1" s="78"/>
    </x:row>
    <x:row r="2" ht="30" customHeight="1">
      <x:c r="A2" s="71" t="str">
        <x:v>v0.3 design pass · scoped arsenal, upgrade decisions and discoverable rail transfers</x:v>
      </x:c>
      <x:c r="B2" s="71"/>
      <x:c r="C2" s="71"/>
      <x:c r="D2" s="71"/>
      <x:c r="E2" s="71"/>
      <x:c r="F2" s="65"/>
      <x:c r="G2" s="65"/>
      <x:c r="H2" s="65"/>
    </x:row>
    <x:row r="3">
      <x:c r="A3" s="65"/>
      <x:c r="B3" s="65"/>
      <x:c r="C3" s="65"/>
      <x:c r="D3" s="65"/>
      <x:c r="E3" s="65"/>
      <x:c r="F3" s="65"/>
      <x:c r="G3" s="65"/>
      <x:c r="H3" s="65"/>
    </x:row>
    <x:row r="4" ht="32" customHeight="1">
      <x:c r="A4" s="73" t="str">
        <x:v>PRIORITY: COMBAT CHOICES + FREE-LOOK TRANSFERS</x:v>
      </x:c>
      <x:c r="B4" s="73"/>
      <x:c r="C4" s="73"/>
      <x:c r="D4" s="73"/>
      <x:c r="E4" s="73" t="str">
        <x:v>PUBLIC / PRIVATE BOUNDARY</x:v>
      </x:c>
      <x:c r="F4" s="73"/>
      <x:c r="G4" s="73"/>
      <x:c r="H4" s="73"/>
    </x:row>
    <x:row r="5">
      <x:c r="A5" s="74" t="str">
        <x:v>Four weapon roles, a real flat-screen 4× optic, earned upgrades, physical salvage, and two new rail detours. 59 Node and 91 browser checks passed. The v0.2 device support remains; physical Xbox/Quest and player enjoyment reviews stay open.</x:v>
      </x:c>
      <x:c r="B5" s="74"/>
      <x:c r="C5" s="74"/>
      <x:c r="D5" s="74"/>
      <x:c r="E5" s="74" t="str">
        <x:v>Public files contain only the mechanics prototype. Unpublished narrative, private authoring sources and privileged service credentials are excluded. No private repository was opened for this update.</x:v>
      </x:c>
      <x:c r="F5" s="74"/>
      <x:c r="G5" s="74"/>
      <x:c r="H5" s="74"/>
    </x:row>
    <x:row r="6">
      <x:c r="A6" s="74"/>
      <x:c r="B6" s="74"/>
      <x:c r="C6" s="74"/>
      <x:c r="D6" s="74"/>
      <x:c r="E6" s="74"/>
      <x:c r="F6" s="74"/>
      <x:c r="G6" s="74"/>
      <x:c r="H6" s="74"/>
    </x:row>
    <x:row r="7">
      <x:c r="A7" s="74"/>
      <x:c r="B7" s="74"/>
      <x:c r="C7" s="74"/>
      <x:c r="D7" s="74"/>
      <x:c r="E7" s="74"/>
      <x:c r="F7" s="74"/>
      <x:c r="G7" s="74"/>
      <x:c r="H7" s="74"/>
    </x:row>
    <x:row r="8">
      <x:c r="A8" s="65"/>
      <x:c r="B8" s="65"/>
      <x:c r="C8" s="65"/>
      <x:c r="D8" s="65"/>
      <x:c r="E8" s="65"/>
      <x:c r="F8" s="65"/>
      <x:c r="G8" s="65"/>
      <x:c r="H8" s="65"/>
    </x:row>
    <x:row r="9">
      <x:c r="A9" s="65"/>
      <x:c r="B9" s="65"/>
      <x:c r="C9" s="65"/>
      <x:c r="D9" s="65"/>
      <x:c r="E9" s="65"/>
      <x:c r="F9" s="65"/>
      <x:c r="G9" s="65"/>
      <x:c r="H9" s="65"/>
    </x:row>
    <x:row r="10" ht="27" customHeight="1">
      <x:c r="A10" s="73" t="str">
        <x:v>Metric</x:v>
      </x:c>
      <x:c r="B10" s="73" t="str">
        <x:v>Count</x:v>
      </x:c>
      <x:c r="C10" s="73" t="str">
        <x:v>Interpretation</x:v>
      </x:c>
      <x:c r="D10" s="73" t="str"/>
      <x:c r="E10" s="73"/>
      <x:c r="F10" s="79"/>
      <x:c r="G10" s="79"/>
      <x:c r="H10" s="79"/>
    </x:row>
    <x:row r="11" ht="38" customHeight="1">
      <x:c r="A11" s="65" t="str">
        <x:v>Tracked tasks</x:v>
      </x:c>
      <x:c r="B11" s="77" t="n">
        <x:f>COUNTA(Roadmap!A5:A39)</x:f>
        <x:v>35</x:v>
      </x:c>
      <x:c r="C11" s="65" t="str">
        <x:v>Each task has stable ID, evidence and acceptance.</x:v>
      </x:c>
      <x:c r="D11" s="65"/>
      <x:c r="E11" s="65"/>
      <x:c r="F11" s="65"/>
      <x:c r="G11" s="65"/>
      <x:c r="H11" s="65"/>
    </x:row>
    <x:row r="12" ht="38" customHeight="1">
      <x:c r="A12" s="65" t="str">
        <x:v>Dependency edges</x:v>
      </x:c>
      <x:c r="B12" s="77" t="n">
        <x:f>COUNTA(Dependencies!A5:A62)</x:f>
        <x:v>58</x:v>
      </x:c>
      <x:c r="C12" s="65" t="str">
        <x:v>Explicit sequencing; no implicit coupling.</x:v>
      </x:c>
      <x:c r="D12" s="65"/>
      <x:c r="E12" s="65"/>
      <x:c r="F12" s="65"/>
      <x:c r="G12" s="65"/>
      <x:c r="H12" s="65"/>
    </x:row>
    <x:row r="13" ht="38" customHeight="1">
      <x:c r="A13" s="65" t="str">
        <x:v>Physical gates open</x:v>
      </x:c>
      <x:c r="B13" s="77" t="n">
        <x:f>COUNTIF(Roadmap!D5:D39,"Hardware QA")</x:f>
        <x:v>3</x:v>
      </x:c>
      <x:c r="C13" s="65" t="str">
        <x:v>Not satisfied by API emulation.</x:v>
      </x:c>
      <x:c r="D13" s="65"/>
      <x:c r="E13" s="65"/>
      <x:c r="F13" s="65"/>
      <x:c r="G13" s="65"/>
      <x:c r="H13" s="65"/>
    </x:row>
    <x:row r="14" ht="38" customHeight="1">
      <x:c r="A14" s="65" t="str">
        <x:v>Released tasks</x:v>
      </x:c>
      <x:c r="B14" s="77" t="n">
        <x:f>COUNTIF(Roadmap!D5:D39,"Released")</x:f>
        <x:v>2</x:v>
      </x:c>
      <x:c r="C14" s="65" t="str">
        <x:v>Release status does not imply every device certified.</x:v>
      </x:c>
      <x:c r="D14" s="65"/>
      <x:c r="E14" s="65"/>
      <x:c r="F14" s="65"/>
      <x:c r="G14" s="65"/>
      <x:c r="H14" s="65"/>
    </x:row>
    <x:row r="15" ht="38" customHeight="1">
      <x:c r="A15" s="65" t="str">
        <x:v>Browser checked</x:v>
      </x:c>
      <x:c r="B15" s="77" t="n">
        <x:f>COUNTIF(Roadmap!D5:D39,"Browser checked")</x:f>
        <x:v>7</x:v>
      </x:c>
      <x:c r="C15" s="65" t="str">
        <x:v>Code exercised in browser scenarios, not physical hardware.</x:v>
      </x:c>
      <x:c r="D15" s="65"/>
      <x:c r="E15" s="65"/>
      <x:c r="F15" s="65"/>
      <x:c r="G15" s="65"/>
      <x:c r="H15" s="65"/>
    </x:row>
    <x:row r="16" ht="38" customHeight="1">
      <x:c r="A16" s="65" t="str">
        <x:v>Planned / deferred</x:v>
      </x:c>
      <x:c r="B16" s="77" t="n">
        <x:f>COUNTIF(Roadmap!D5:D39,"Planned")+COUNTIF(Roadmap!D5:D39,"Deferred")</x:f>
        <x:v>18</x:v>
      </x:c>
      <x:c r="C16" s="65" t="str">
        <x:v>Long-term work, not promised dates.</x:v>
      </x:c>
      <x:c r="D16" s="65"/>
      <x:c r="E16" s="65"/>
      <x:c r="F16" s="65"/>
      <x:c r="G16" s="65"/>
      <x:c r="H16" s="65"/>
    </x:row>
    <x:row r="17">
      <x:c r="A17" s="65"/>
      <x:c r="B17" s="65"/>
      <x:c r="C17" s="65"/>
      <x:c r="D17" s="65"/>
      <x:c r="E17" s="65"/>
      <x:c r="F17" s="65"/>
      <x:c r="G17" s="65"/>
      <x:c r="H17" s="65"/>
    </x:row>
    <x:row r="18" ht="28" customHeight="1">
      <x:c r="A18" s="73" t="str">
        <x:v>STATUS DEFINITIONS / HOW TO USE THIS PLAN</x:v>
      </x:c>
      <x:c r="B18" s="73"/>
      <x:c r="C18" s="73"/>
      <x:c r="D18" s="73"/>
      <x:c r="E18" s="73"/>
      <x:c r="F18" s="73"/>
      <x:c r="G18" s="73"/>
      <x:c r="H18" s="73"/>
    </x:row>
    <x:row r="19" ht="37" customHeight="1">
      <x:c r="A19" s="65" t="str">
        <x:v>Implemented: source exists. Browser checked: an explicit simulated/native browser scenario passed. Neither is a substitute for a physical device.</x:v>
      </x:c>
      <x:c r="B19" s="65"/>
      <x:c r="C19" s="65"/>
      <x:c r="D19" s="65"/>
      <x:c r="E19" s="65"/>
      <x:c r="F19" s="65"/>
      <x:c r="G19" s="65"/>
      <x:c r="H19" s="65"/>
    </x:row>
    <x:row r="20" ht="37" customHeight="1">
      <x:c r="A20" s="65" t="str">
        <x:v>Hardware QA: work is waiting for a real Xbox or Quest 3 test. Record findings in Physical QA; never fill in a positive result without measurements.</x:v>
      </x:c>
      <x:c r="B20" s="65"/>
      <x:c r="C20" s="65"/>
      <x:c r="D20" s="65"/>
      <x:c r="E20" s="65"/>
      <x:c r="F20" s="65"/>
      <x:c r="G20" s="65"/>
      <x:c r="H20" s="65"/>
    </x:row>
    <x:row r="21" ht="37" customHeight="1">
      <x:c r="A21" s="65" t="str">
        <x:v>Released: the scoped public feature was published. The relevant independent hardware gates may still remain open.</x:v>
      </x:c>
      <x:c r="B21" s="65"/>
      <x:c r="C21" s="65"/>
      <x:c r="D21" s="65"/>
      <x:c r="E21" s="65"/>
      <x:c r="F21" s="65"/>
      <x:c r="G21" s="65"/>
      <x:c r="H21" s="65"/>
    </x:row>
    <x:row r="22" ht="37" customHeight="1">
      <x:c r="A22" s="65" t="str">
        <x:v>Edit the Roadmap statuses to update formula summaries. The workbook is not a GitHub client; changes here do not edit the game or committed board.</x:v>
      </x:c>
      <x:c r="B22" s="65"/>
      <x:c r="C22" s="65"/>
      <x:c r="D22" s="65"/>
      <x:c r="E22" s="65"/>
      <x:c r="F22" s="65"/>
      <x:c r="G22" s="65"/>
      <x:c r="H22" s="65"/>
    </x:row>
    <x:row r="23" ht="37" customHeight="1">
      <x:c r="A23" s="65" t="str">
        <x:v>Next: player balance review and richer encounters, followed by real two-client networking. Current evidence: PR39; automated passage is not proof of enjoyable combat.</x:v>
      </x:c>
      <x:c r="B23" s="65"/>
      <x:c r="C23" s="65"/>
      <x:c r="D23" s="65"/>
      <x:c r="E23" s="65"/>
      <x:c r="F23" s="65"/>
      <x:c r="G23" s="65"/>
      <x:c r="H23" s="65"/>
    </x:row>
  </x:sheetData>
  <x:mergeCells>
    <x:mergeCell ref="A1:H1"/>
    <x:mergeCell ref="A2:H2"/>
    <x:mergeCell ref="A4:D4"/>
    <x:mergeCell ref="A5:D7"/>
    <x:mergeCell ref="E4:H4"/>
    <x:mergeCell ref="E5:H7"/>
    <x:mergeCell ref="C11:H11"/>
    <x:mergeCell ref="C12:H12"/>
    <x:mergeCell ref="C13:H13"/>
    <x:mergeCell ref="C14:H14"/>
    <x:mergeCell ref="C15:H15"/>
    <x:mergeCell ref="C16:H16"/>
    <x:mergeCell ref="A18:H18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20" hidden="0" customWidth="1"/>
    <x:col min="5" max="5" width="38" hidden="0" customWidth="1"/>
    <x:col min="6" max="6" width="22" hidden="0" customWidth="1"/>
    <x:col min="7" max="7" width="40" hidden="0" customWidth="1"/>
    <x:col min="8" max="8" width="38" hidden="0" customWidth="1"/>
    <x:col min="9" max="9" width="40" hidden="0" customWidth="1"/>
  </x:cols>
  <x:sheetData>
    <x:row r="1" ht="36" customHeight="1">
      <x:c r="A1" s="22" t="str">
        <x:v>ROADMAP</x:v>
      </x:c>
      <x:c r="B1" s="22"/>
      <x:c r="C1" s="22"/>
      <x:c r="D1" s="22"/>
      <x:c r="E1" s="22"/>
      <x:c r="F1" s="22"/>
      <x:c r="G1" s="22"/>
      <x:c r="H1" s="22"/>
      <x:c r="I1" s="22"/>
    </x:row>
    <x:row r="2" ht="28" customHeight="1">
      <x:c r="A2" s="25" t="str">
        <x:v>Aether Reach • Public engine development • Updated 2026-09-06 • Physical device gates are not inferred from emulation.</x:v>
      </x:c>
      <x:c r="B2" s="25"/>
      <x:c r="C2" s="25"/>
      <x:c r="D2" s="25"/>
      <x:c r="E2" s="25"/>
      <x:c r="F2" s="25"/>
      <x:c r="G2" s="25"/>
      <x:c r="H2" s="25"/>
      <x:c r="I2" s="25"/>
    </x:row>
    <x:row r="4" ht="30" customHeight="1">
      <x:c r="A4" s="35" t="str">
        <x:v>ID</x:v>
      </x:c>
      <x:c r="B4" s="35" t="str">
        <x:v>Workstream</x:v>
      </x:c>
      <x:c r="C4" s="35" t="str">
        <x:v>Priority</x:v>
      </x:c>
      <x:c r="D4" s="35" t="str">
        <x:v>Status</x:v>
      </x:c>
      <x:c r="E4" s="35" t="str">
        <x:v>Feature / deliverable</x:v>
      </x:c>
      <x:c r="F4" s="35" t="str">
        <x:v>Dependencies</x:v>
      </x:c>
      <x:c r="G4" s="35" t="str">
        <x:v>Acceptance criteria</x:v>
      </x:c>
      <x:c r="H4" s="35" t="str">
        <x:v>Next action</x:v>
      </x:c>
      <x:c r="I4" s="35" t="str">
        <x:v>Evidence / scope</x:v>
      </x:c>
    </x:row>
    <x:row r="5" ht="88" customHeight="1">
      <x:c r="A5" s="30" t="str">
        <x:v>A01</x:v>
      </x:c>
      <x:c r="B5" s="30" t="str">
        <x:v>Foundation</x:v>
      </x:c>
      <x:c r="C5" s="30" t="str">
        <x:v>P0</x:v>
      </x:c>
      <x:c r="D5" s="30" t="str">
        <x:v>Released</x:v>
      </x:c>
      <x:c r="E5" s="30" t="str">
        <x:v>Playable floating-city expedition</x:v>
      </x:c>
      <x:c r="F5" s="30" t="str">
        <x:v>—</x:v>
      </x:c>
      <x:c r="G5" s="30" t="str">
        <x:v>Complete three relays and return via connected foot or rail routes.</x:v>
      </x:c>
      <x:c r="H5" s="30" t="str">
        <x:v>Preserve the playable loop while adding devices.</x:v>
      </x:c>
      <x:c r="I5" s="30" t="str">
        <x:v>PR35: 23 model/boundary tests and 39 native browser checks; v0.1.0 published.</x:v>
      </x:c>
    </x:row>
    <x:row r="6" ht="88" customHeight="1">
      <x:c r="A6" s="30" t="str">
        <x:v>A02</x:v>
      </x:c>
      <x:c r="B6" s="30" t="str">
        <x:v>Foundation</x:v>
      </x:c>
      <x:c r="C6" s="30" t="str">
        <x:v>P0</x:v>
      </x:c>
      <x:c r="D6" s="30" t="str">
        <x:v>Released</x:v>
      </x:c>
      <x:c r="E6" s="30" t="str">
        <x:v>Private narrative / public engine boundary</x:v>
      </x:c>
      <x:c r="F6" s="30" t="str">
        <x:v>—</x:v>
      </x:c>
      <x:c r="G6" s="30" t="str">
        <x:v>No private repository, manuscript, privileged key or hidden narrative loader in the public build.</x:v>
      </x:c>
      <x:c r="H6" s="30" t="str">
        <x:v>Review the allowlisted release files at every publication.</x:v>
      </x:c>
      <x:c r="I6" s="30" t="str">
        <x:v>PUBLIC_BUILD.md and local-import tests.</x:v>
      </x:c>
    </x:row>
    <x:row r="7" ht="88" customHeight="1">
      <x:c r="A7" s="30" t="str">
        <x:v>I01</x:v>
      </x:c>
      <x:c r="B7" s="30" t="str">
        <x:v>Controllers</x:v>
      </x:c>
      <x:c r="C7" s="30" t="str">
        <x:v>P0</x:v>
      </x:c>
      <x:c r="D7" s="30" t="str">
        <x:v>Browser checked</x:v>
      </x:c>
      <x:c r="E7" s="30" t="str">
        <x:v>Action-based gamepad input</x:v>
      </x:c>
      <x:c r="F7" s="30" t="str">
        <x:v>A01</x:v>
      </x:c>
      <x:c r="G7" s="30" t="str">
        <x:v>Analog sticks, radial deadzone, rising-edge actions, neutral reconnect and safe disconnected pause.</x:v>
      </x:c>
      <x:c r="H7" s="30" t="str">
        <x:v>Physical Xbox QA in I03, then remapping and accessibility.</x:v>
      </x:c>
      <x:c r="I7" s="30" t="str">
        <x:v>PR37, Actions 34061735693: real HTTP/WebGL application with explicitly emulated device APIs; no physical device certification.</x:v>
      </x:c>
    </x:row>
    <x:row r="8" ht="88" customHeight="1">
      <x:c r="A8" s="30" t="str">
        <x:v>I02</x:v>
      </x:c>
      <x:c r="B8" s="30" t="str">
        <x:v>Controllers</x:v>
      </x:c>
      <x:c r="C8" s="30" t="str">
        <x:v>P0</x:v>
      </x:c>
      <x:c r="D8" s="30" t="str">
        <x:v>Browser checked</x:v>
      </x:c>
      <x:c r="E8" s="30" t="str">
        <x:v>Xbox menus and gameplay bindings</x:v>
      </x:c>
      <x:c r="F8" s="30" t="str">
        <x:v>I01</x:v>
      </x:c>
      <x:c r="G8" s="30" t="str">
        <x:v>Start without mouse; navigate dialogs, move/look, hook/reverse/release, fire/reload/pulse; settings persist.</x:v>
      </x:c>
      <x:c r="H8" s="30" t="str">
        <x:v>Physical Xbox QA in I03, then remapping and accessibility.</x:v>
      </x:c>
      <x:c r="I8" s="30" t="str">
        <x:v>PR37, Actions 34061735693: real HTTP/WebGL application with explicitly emulated device APIs; no physical device certification.</x:v>
      </x:c>
    </x:row>
    <x:row r="9" ht="88" customHeight="1">
      <x:c r="A9" s="30" t="str">
        <x:v>I03</x:v>
      </x:c>
      <x:c r="B9" s="30" t="str">
        <x:v>Controllers</x:v>
      </x:c>
      <x:c r="C9" s="30" t="str">
        <x:v>P0</x:v>
      </x:c>
      <x:c r="D9" s="30" t="str">
        <x:v>Hardware QA</x:v>
      </x:c>
      <x:c r="E9" s="30" t="str">
        <x:v>Physical Xbox USB and Bluetooth QA</x:v>
      </x:c>
      <x:c r="F9" s="30" t="str">
        <x:v>I02</x:v>
      </x:c>
      <x:c r="G9" s="30" t="str">
        <x:v>Real Xbox pad on Windows Chrome/Edge: deadzone, reconnect, held buttons, save/resume and full mission.</x:v>
      </x:c>
      <x:c r="H9" s="30" t="str">
        <x:v>Record device, connection type, browser and findings.</x:v>
      </x:c>
      <x:c r="I9" s="30" t="str">
        <x:v>No physical-controller evidence yet.</x:v>
      </x:c>
    </x:row>
    <x:row r="10" ht="88" customHeight="1">
      <x:c r="A10" s="30" t="str">
        <x:v>I04</x:v>
      </x:c>
      <x:c r="B10" s="30" t="str">
        <x:v>Controllers</x:v>
      </x:c>
      <x:c r="C10" s="30" t="str">
        <x:v>P1</x:v>
      </x:c>
      <x:c r="D10" s="30" t="str">
        <x:v>Planned</x:v>
      </x:c>
      <x:c r="E10" s="30" t="str">
        <x:v>Remapping and accessibility profiles</x:v>
      </x:c>
      <x:c r="F10" s="30" t="str">
        <x:v>I02</x:v>
      </x:c>
      <x:c r="G10" s="30" t="str">
        <x:v>Remappable actions, conflict detection, defaults reset and persisted profiles; keyboard remains usable.</x:v>
      </x:c>
      <x:c r="H10" s="30" t="str">
        <x:v>Design one binding schema across devices.</x:v>
      </x:c>
      <x:c r="I10" s="30" t="str">
        <x:v>Not implemented.</x:v>
      </x:c>
    </x:row>
    <x:row r="11" ht="88" customHeight="1">
      <x:c r="A11" s="30" t="str">
        <x:v>X01</x:v>
      </x:c>
      <x:c r="B11" s="30" t="str">
        <x:v>WebXR</x:v>
      </x:c>
      <x:c r="C11" s="30" t="str">
        <x:v>P0</x:v>
      </x:c>
      <x:c r="D11" s="30" t="str">
        <x:v>Browser checked</x:v>
      </x:c>
      <x:c r="E11" s="30" t="str">
        <x:v>Immersive session and tracked rig</x:v>
      </x:c>
      <x:c r="F11" s="30" t="str">
        <x:v>I01</x:v>
      </x:c>
      <x:c r="G11" s="30" t="str">
        <x:v>Feature detect immersive-vr; enter on click; local-floor; stereo animation loop; safe denial and exit.</x:v>
      </x:c>
      <x:c r="H11" s="30" t="str">
        <x:v>Physical Quest 3 verification and performance profiling in X04/X05.</x:v>
      </x:c>
      <x:c r="I11" s="30" t="str">
        <x:v>PR37, Actions 34061735693: real HTTP/WebGL application with explicitly emulated device APIs; no physical device certification.</x:v>
      </x:c>
    </x:row>
    <x:row r="12" ht="88" customHeight="1">
      <x:c r="A12" s="30" t="str">
        <x:v>X02</x:v>
      </x:c>
      <x:c r="B12" s="30" t="str">
        <x:v>WebXR</x:v>
      </x:c>
      <x:c r="C12" s="30" t="str">
        <x:v>P0</x:v>
      </x:c>
      <x:c r="D12" s="30" t="str">
        <x:v>Browser checked</x:v>
      </x:c>
      <x:c r="E12" s="30" t="str">
        <x:v>Quest controller movement and aiming</x:v>
      </x:c>
      <x:c r="F12" s="30" t="str">
        <x:v>X01</x:v>
      </x:c>
      <x:c r="G12" s="30" t="str">
        <x:v>Handed input, independent right-hand aim, left-stick motion, 30-degree snap turn, rail camera never forces head yaw.</x:v>
      </x:c>
      <x:c r="H12" s="30" t="str">
        <x:v>Physical Quest 3 verification and performance profiling in X04/X05.</x:v>
      </x:c>
      <x:c r="I12" s="30" t="str">
        <x:v>PR37, Actions 34061735693: real HTTP/WebGL application with explicitly emulated device APIs; no physical device certification.</x:v>
      </x:c>
    </x:row>
    <x:row r="13" ht="88" customHeight="1">
      <x:c r="A13" s="30" t="str">
        <x:v>X03</x:v>
      </x:c>
      <x:c r="B13" s="30" t="str">
        <x:v>WebXR</x:v>
      </x:c>
      <x:c r="C13" s="30" t="str">
        <x:v>P0</x:v>
      </x:c>
      <x:c r="D13" s="30" t="str">
        <x:v>Browser checked</x:v>
      </x:c>
      <x:c r="E13" s="30" t="str">
        <x:v>In-headset HUD and menus</x:v>
      </x:c>
      <x:c r="F13" s="30" t="str">
        <x:v>X02</x:v>
      </x:c>
      <x:c r="G13" s="30" t="str">
        <x:v>Health/ammo/objective panel, pause/atlas/archive panels, controller selection and Exit VR without removing headset.</x:v>
      </x:c>
      <x:c r="H13" s="30" t="str">
        <x:v>Physical Quest 3 verification and performance profiling in X04/X05.</x:v>
      </x:c>
      <x:c r="I13" s="30" t="str">
        <x:v>PR37, Actions 34061735693: real HTTP/WebGL application with explicitly emulated device APIs; no physical device certification.</x:v>
      </x:c>
    </x:row>
    <x:row r="14" ht="88" customHeight="1">
      <x:c r="A14" s="30" t="str">
        <x:v>X04</x:v>
      </x:c>
      <x:c r="B14" s="30" t="str">
        <x:v>WebXR</x:v>
      </x:c>
      <x:c r="C14" s="30" t="str">
        <x:v>P0</x:v>
      </x:c>
      <x:c r="D14" s="30" t="str">
        <x:v>Hardware QA</x:v>
      </x:c>
      <x:c r="E14" s="30" t="str">
        <x:v>Physical Quest 3 acceptance</x:v>
      </x:c>
      <x:c r="F14" s="30" t="str">
        <x:v>X01, X02, X03</x:v>
      </x:c>
      <x:c r="G14" s="30" t="str">
        <x:v>Meta Quest Browser: two eyes, controller alignment, floor height, snap turn, menus, rails, suspension/re-entry; no sickness/comfort promise.</x:v>
      </x:c>
      <x:c r="H14" s="30" t="str">
        <x:v>Collect headset browser version and full-session feedback.</x:v>
      </x:c>
      <x:c r="I14" s="30" t="str">
        <x:v>No physical Quest 3 run yet.</x:v>
      </x:c>
    </x:row>
    <x:row r="15" ht="88" customHeight="1">
      <x:c r="A15" s="30" t="str">
        <x:v>X05</x:v>
      </x:c>
      <x:c r="B15" s="30" t="str">
        <x:v>WebXR</x:v>
      </x:c>
      <x:c r="C15" s="30" t="str">
        <x:v>P0</x:v>
      </x:c>
      <x:c r="D15" s="30" t="str">
        <x:v>Hardware QA</x:v>
      </x:c>
      <x:c r="E15" s="30" t="str">
        <x:v>Frame-time and rendering budget</x:v>
      </x:c>
      <x:c r="F15" s="30" t="str">
        <x:v>X04</x:v>
      </x:c>
      <x:c r="G15" s="30" t="str">
        <x:v>Measure sustained CPU/GPU frame times and memory on Quest 3, choose target refresh budget from measurements.</x:v>
      </x:c>
      <x:c r="H15" s="30" t="str">
        <x:v>Profile before adding more scene detail.</x:v>
      </x:c>
      <x:c r="I15" s="30" t="str">
        <x:v>XR disables shadows and uses reduced framebuffer scale; no measured target yet.</x:v>
      </x:c>
    </x:row>
    <x:row r="16" ht="88" customHeight="1">
      <x:c r="A16" s="30" t="str">
        <x:v>X06</x:v>
      </x:c>
      <x:c r="B16" s="30" t="str">
        <x:v>WebXR</x:v>
      </x:c>
      <x:c r="C16" s="30" t="str">
        <x:v>P1</x:v>
      </x:c>
      <x:c r="D16" s="30" t="str">
        <x:v>Planned</x:v>
      </x:c>
      <x:c r="E16" s="30" t="str">
        <x:v>Comfort and room-scale calibration</x:v>
      </x:c>
      <x:c r="F16" s="30" t="str">
        <x:v>X04</x:v>
      </x:c>
      <x:c r="G16" s="30" t="str">
        <x:v>Seated height, handed locomotion, snap/smooth choice, comfort vignette and robust recenter/reference-reset handling.</x:v>
      </x:c>
      <x:c r="H16" s="30" t="str">
        <x:v>Tune with physical testing, not desktop assumptions.</x:v>
      </x:c>
      <x:c r="I16" s="30" t="str">
        <x:v>Initial local-floor, snap turn and collision-limited room displacement implemented; full calibration is not.</x:v>
      </x:c>
    </x:row>
    <x:row r="17" ht="88" customHeight="1">
      <x:c r="A17" s="30" t="str">
        <x:v>M01</x:v>
      </x:c>
      <x:c r="B17" s="30" t="str">
        <x:v>Traversal</x:v>
      </x:c>
      <x:c r="C17" s="30" t="str">
        <x:v>P1</x:v>
      </x:c>
      <x:c r="D17" s="30" t="str">
        <x:v>Planned</x:v>
      </x:c>
      <x:c r="E17" s="30" t="str">
        <x:v>Two-hand climb and ledge acquisition</x:v>
      </x:c>
      <x:c r="F17" s="30" t="str">
        <x:v>X04, X05</x:v>
      </x:c>
      <x:c r="G17" s="30" t="str">
        <x:v>Grip actual hand contacts, pull body with collision, transfer hands, release momentum and recover missed grabs.</x:v>
      </x:c>
      <x:c r="H17" s="30" t="str">
        <x:v>Build one climb wall in a mechanics yard.</x:v>
      </x:c>
      <x:c r="I17" s="30" t="str">
        <x:v>Not implemented.</x:v>
      </x:c>
    </x:row>
    <x:row r="18" ht="88" customHeight="1">
      <x:c r="A18" s="30" t="str">
        <x:v>M02</x:v>
      </x:c>
      <x:c r="B18" s="30" t="str">
        <x:v>Traversal</x:v>
      </x:c>
      <x:c r="C18" s="30" t="str">
        <x:v>P1</x:v>
      </x:c>
      <x:c r="D18" s="30" t="str">
        <x:v>Planned</x:v>
      </x:c>
      <x:c r="E18" s="30" t="str">
        <x:v>Gliding from a rail or ledge</x:v>
      </x:c>
      <x:c r="F18" s="30" t="str">
        <x:v>X04</x:v>
      </x:c>
      <x:c r="G18" s="30" t="str">
        <x:v>Explicit deploy/cancel, carried release momentum, controllable descent, safe landing and comfort controls.</x:v>
      </x:c>
      <x:c r="H18" s="30" t="str">
        <x:v>Prototype with one deterministic flight envelope.</x:v>
      </x:c>
      <x:c r="I18" s="30" t="str">
        <x:v>Rail release exists; gliding does not.</x:v>
      </x:c>
    </x:row>
    <x:row r="19" ht="88" customHeight="1">
      <x:c r="A19" s="30" t="str">
        <x:v>M03</x:v>
      </x:c>
      <x:c r="B19" s="30" t="str">
        <x:v>Traversal</x:v>
      </x:c>
      <x:c r="C19" s="30" t="str">
        <x:v>P1</x:v>
      </x:c>
      <x:c r="D19" s="30" t="str">
        <x:v>Planned</x:v>
      </x:c>
      <x:c r="E19" s="30" t="str">
        <x:v>Climb / rail / glide state transitions</x:v>
      </x:c>
      <x:c r="F19" s="30" t="str">
        <x:v>M01, M02</x:v>
      </x:c>
      <x:c r="G19" s="30" t="str">
        <x:v>Continuous velocity between modes; no teleports or phantom grabs; recovery reachable after an intentional miss.</x:v>
      </x:c>
      <x:c r="H19" s="30" t="str">
        <x:v>Author and replay complete linked routes.</x:v>
      </x:c>
      <x:c r="I19" s="30" t="str">
        <x:v>Design goal, not a finished traversal system.</x:v>
      </x:c>
    </x:row>
    <x:row r="20" ht="88" customHeight="1">
      <x:c r="A20" s="30" t="str">
        <x:v>M04</x:v>
      </x:c>
      <x:c r="B20" s="30" t="str">
        <x:v>Traversal</x:v>
      </x:c>
      <x:c r="C20" s="30" t="str">
        <x:v>P1</x:v>
      </x:c>
      <x:c r="D20" s="30" t="str">
        <x:v>Planned</x:v>
      </x:c>
      <x:c r="E20" s="30" t="str">
        <x:v>Readable branching rails and reward flow</x:v>
      </x:c>
      <x:c r="F20" s="30" t="str">
        <x:v>A01, M02</x:v>
      </x:c>
      <x:c r="G20" s="30" t="str">
        <x:v>Fast/high/rich alternatives, deliberate backward exploration, visible receiver, repeatable compatible arrival states.</x:v>
      </x:c>
      <x:c r="H20" s="30" t="str">
        <x:v>Playtest full rides and missed transfers, then add compatible entry/exit assemblies rather than disconnected decorative rails.</x:v>
      </x:c>
      <x:c r="I20" s="30" t="str">
        <x:v>v0.3 adds Gale Market Loop and Prism Detour; 20 model jump/catch samples across four directions. Extensive branching worlds and player-rated route quality remain open.</x:v>
      </x:c>
    </x:row>
    <x:row r="21" ht="88" customHeight="1">
      <x:c r="A21" s="30" t="str">
        <x:v>C01</x:v>
      </x:c>
      <x:c r="B21" s="30" t="str">
        <x:v>Combat</x:v>
      </x:c>
      <x:c r="C21" s="30" t="str">
        <x:v>P1</x:v>
      </x:c>
      <x:c r="D21" s="30" t="str">
        <x:v>Planned</x:v>
      </x:c>
      <x:c r="E21" s="30" t="str">
        <x:v>Embodied reload and two-hand stabilization</x:v>
      </x:c>
      <x:c r="F21" s="30" t="str">
        <x:v>X04</x:v>
      </x:c>
      <x:c r="G21" s="30" t="str">
        <x:v>Tracked weapon alignment, magazine interaction, recoil, occlusion and left-handed options.</x:v>
      </x:c>
      <x:c r="H21" s="30" t="str">
        <x:v>Keep current button reload as accessible fallback.</x:v>
      </x:c>
      <x:c r="I21" s="30" t="str">
        <x:v>Ray aiming/button reload prototype only.</x:v>
      </x:c>
    </x:row>
    <x:row r="22" ht="88" customHeight="1">
      <x:c r="A22" s="30" t="str">
        <x:v>C02</x:v>
      </x:c>
      <x:c r="B22" s="30" t="str">
        <x:v>Combat</x:v>
      </x:c>
      <x:c r="C22" s="30" t="str">
        <x:v>P1</x:v>
      </x:c>
      <x:c r="D22" s="30" t="str">
        <x:v>Planned</x:v>
      </x:c>
      <x:c r="E22" s="30" t="str">
        <x:v>Distinct enemies and rail combat</x:v>
      </x:c>
      <x:c r="F22" s="30" t="str">
        <x:v>X05, C01</x:v>
      </x:c>
      <x:c r="G22" s="30" t="str">
        <x:v>Readable threats, varied movement/attack patterns, fair cover and shooting while traversing.</x:v>
      </x:c>
      <x:c r="H22" s="30" t="str">
        <x:v>Add one well-tested enemy behavior at a time.</x:v>
      </x:c>
      <x:c r="I22" s="30" t="str">
        <x:v>v0.3 implements scout, heavy burst attacker and charged sentry, plus a passive target. Rich combat encounters remain in development.</x:v>
      </x:c>
    </x:row>
    <x:row r="23" ht="88" customHeight="1">
      <x:c r="A23" s="30" t="str">
        <x:v>C03</x:v>
      </x:c>
      <x:c r="B23" s="30" t="str">
        <x:v>Combat</x:v>
      </x:c>
      <x:c r="C23" s="30" t="str">
        <x:v>P2</x:v>
      </x:c>
      <x:c r="D23" s="30" t="str">
        <x:v>Planned</x:v>
      </x:c>
      <x:c r="E23" s="30" t="str">
        <x:v>Temporary tactical cover</x:v>
      </x:c>
      <x:c r="F23" s="30" t="str">
        <x:v>M03, C02</x:v>
      </x:c>
      <x:c r="G23" s="30" t="str">
        <x:v>Constrained placement, costs, collision and no trapped player or unreachable route.</x:v>
      </x:c>
      <x:c r="H23" s="30" t="str">
        <x:v>Resolve locomotion before building dynamic obstacles.</x:v>
      </x:c>
      <x:c r="I23" s="30" t="str">
        <x:v>Not implemented.</x:v>
      </x:c>
    </x:row>
    <x:row r="24" ht="88" customHeight="1">
      <x:c r="A24" s="30" t="str">
        <x:v>W01</x:v>
      </x:c>
      <x:c r="B24" s="30" t="str">
        <x:v>World</x:v>
      </x:c>
      <x:c r="C24" s="30" t="str">
        <x:v>P1</x:v>
      </x:c>
      <x:c r="D24" s="30" t="str">
        <x:v>Planned</x:v>
      </x:c>
      <x:c r="E24" s="30" t="str">
        <x:v>Interiors, puzzles and exploration rewards</x:v>
      </x:c>
      <x:c r="F24" s="30" t="str">
        <x:v>A01, X05</x:v>
      </x:c>
      <x:c r="G24" s="30" t="str">
        <x:v>Playable interior routes, puzzle state saves and rewards worth detouring for.</x:v>
      </x:c>
      <x:c r="H24" s="30" t="str">
        <x:v>One building-sized exploration encounter.</x:v>
      </x:c>
      <x:c r="I24" s="30" t="str">
        <x:v>Current architecture is mostly exterior.</x:v>
      </x:c>
    </x:row>
    <x:row r="25" ht="88" customHeight="1">
      <x:c r="A25" s="30" t="str">
        <x:v>W02</x:v>
      </x:c>
      <x:c r="B25" s="30" t="str">
        <x:v>World</x:v>
      </x:c>
      <x:c r="C25" s="30" t="str">
        <x:v>P1</x:v>
      </x:c>
      <x:c r="D25" s="30" t="str">
        <x:v>Planned</x:v>
      </x:c>
      <x:c r="E25" s="30" t="str">
        <x:v>Original visual and audio production</x:v>
      </x:c>
      <x:c r="F25" s="30" t="str">
        <x:v>X05</x:v>
      </x:c>
      <x:c r="G25" s="30" t="str">
        <x:v>Coherent architecture, readable surfaces, original audio and performance-budgeted assets.</x:v>
      </x:c>
      <x:c r="H25" s="30" t="str">
        <x:v>Improve fidelity only within measured headset budgets.</x:v>
      </x:c>
      <x:c r="I25" s="30" t="str">
        <x:v>v0.3 differentiates bazaar, greenhouse, foundry and spire silhouettes and four weapons. Original procedural art, not imported franchise assets.</x:v>
      </x:c>
    </x:row>
    <x:row r="26" ht="88" customHeight="1">
      <x:c r="A26" s="30" t="str">
        <x:v>E01</x:v>
      </x:c>
      <x:c r="B26" s="30" t="str">
        <x:v>Authoring</x:v>
      </x:c>
      <x:c r="C26" s="30" t="str">
        <x:v>P2</x:v>
      </x:c>
      <x:c r="D26" s="30" t="str">
        <x:v>Planned</x:v>
      </x:c>
      <x:c r="E26" s="30" t="str">
        <x:v>Shared 3D world and rail editor</x:v>
      </x:c>
      <x:c r="F26" s="30" t="str">
        <x:v>M03</x:v>
      </x:c>
      <x:c r="G26" s="30" t="str">
        <x:v>Editable curves, anchors and geometry; validate reachability/clearance; save/export and exact playtest return.</x:v>
      </x:c>
      <x:c r="H26" s="30" t="str">
        <x:v>Define a world format before UI expansion.</x:v>
      </x:c>
      <x:c r="I26" s="30" t="str">
        <x:v>Paper Delivery has a separate editor; not silently inherited by Aether Reach.</x:v>
      </x:c>
    </x:row>
    <x:row r="27" ht="88" customHeight="1">
      <x:c r="A27" s="30" t="str">
        <x:v>E02</x:v>
      </x:c>
      <x:c r="B27" s="30" t="str">
        <x:v>Authoring</x:v>
      </x:c>
      <x:c r="C27" s="30" t="str">
        <x:v>P2</x:v>
      </x:c>
      <x:c r="D27" s="30" t="str">
        <x:v>Deferred</x:v>
      </x:c>
      <x:c r="E27" s="30" t="str">
        <x:v>Cloud levels and accounts</x:v>
      </x:c>
      <x:c r="F27" s="30" t="str">
        <x:v>E01</x:v>
      </x:c>
      <x:c r="G27" s="30" t="str">
        <x:v>Authenticated ownership, reviewed database policies, moderation and no client-only paid entitlements.</x:v>
      </x:c>
      <x:c r="H27" s="30" t="str">
        <x:v>Separate security design and explicit service authorization.</x:v>
      </x:c>
      <x:c r="I27" s="30" t="str">
        <x:v>Local checkpoints only; no new cloud integration.</x:v>
      </x:c>
    </x:row>
    <x:row r="28" ht="88" customHeight="1">
      <x:c r="A28" s="30" t="str">
        <x:v>N01</x:v>
      </x:c>
      <x:c r="B28" s="30" t="str">
        <x:v>Networking</x:v>
      </x:c>
      <x:c r="C28" s="30" t="str">
        <x:v>P1</x:v>
      </x:c>
      <x:c r="D28" s="30" t="str">
        <x:v>Planned</x:v>
      </x:c>
      <x:c r="E28" s="30" t="str">
        <x:v>Multiplayer authority and replication</x:v>
      </x:c>
      <x:c r="F28" s="30" t="str">
        <x:v>I02, B01, B03</x:v>
      </x:c>
      <x:c r="G28" s="30" t="str">
        <x:v>Server-owned simulation, anti-cheat boundaries, interpolation, latency tests and stable room ownership.</x:v>
      </x:c>
      <x:c r="H28" s="30" t="str">
        <x:v>Design authoritative rooms and two-client traversal before competitive game modes. No local bot will be labeled a remote player.</x:v>
      </x:c>
      <x:c r="I28" s="30" t="str">
        <x:v>Single-player currently.</x:v>
      </x:c>
    </x:row>
    <x:row r="29" ht="88" customHeight="1">
      <x:c r="A29" s="30" t="str">
        <x:v>R01</x:v>
      </x:c>
      <x:c r="B29" s="30" t="str">
        <x:v>Release</x:v>
      </x:c>
      <x:c r="C29" s="30" t="str">
        <x:v>P0</x:v>
      </x:c>
      <x:c r="D29" s="30" t="str">
        <x:v>Browser checked</x:v>
      </x:c>
      <x:c r="E29" s="30" t="str">
        <x:v>Public Kanban / workbook planning</x:v>
      </x:c>
      <x:c r="F29" s="30" t="str">
        <x:v>—</x:v>
      </x:c>
      <x:c r="G29" s="30" t="str">
        <x:v>Searchable tasks, explicit dependencies and gates, local editable statuses, portable export, matching workbook.</x:v>
      </x:c>
      <x:c r="H29" s="30" t="str">
        <x:v>Update committed plan from verified work; browser edits remain local only.</x:v>
      </x:c>
      <x:c r="I29" s="30" t="str">
        <x:v>PR37, Actions 34061735693: real HTTP/WebGL application with explicitly emulated device APIs; no physical device certification.</x:v>
      </x:c>
    </x:row>
    <x:row r="30" ht="88" customHeight="1">
      <x:c r="A30" s="30" t="str">
        <x:v>R02</x:v>
      </x:c>
      <x:c r="B30" s="30" t="str">
        <x:v>Release</x:v>
      </x:c>
      <x:c r="C30" s="30" t="str">
        <x:v>P0</x:v>
      </x:c>
      <x:c r="D30" s="30" t="str">
        <x:v>Browser checked</x:v>
      </x:c>
      <x:c r="E30" s="30" t="str">
        <x:v>Controller/XR preview publication</x:v>
      </x:c>
      <x:c r="F30" s="30" t="str">
        <x:v>I01, I02, X01, X02, X03, R01</x:v>
      </x:c>
      <x:c r="G30" s="30" t="str">
        <x:v>Pass model, keyboard/touch regression, browser pad and XR-lifecycle tests; byte-verify deployed public files.</x:v>
      </x:c>
      <x:c r="H30" s="30" t="str">
        <x:v>Read the published-file hash receipt in PR37 for deployment status. Physical hardware gates remain separate.</x:v>
      </x:c>
      <x:c r="I30" s="30" t="str">
        <x:v>PR37 acceptance: 38 Node tests and 70 native/device-emulated browser checks, runs 34061735693 and 34061735714.</x:v>
      </x:c>
    </x:row>
    <x:row r="31" ht="88" customHeight="1">
      <x:c r="A31" s="39" t="str">
        <x:v>B01</x:v>
      </x:c>
      <x:c r="B31" s="39" t="str">
        <x:v>Combat</x:v>
      </x:c>
      <x:c r="C31" s="39" t="str">
        <x:v>P0</x:v>
      </x:c>
      <x:c r="D31" s="39" t="str">
        <x:v>Implemented</x:v>
      </x:c>
      <x:c r="E31" s="39" t="str">
        <x:v>Four-weapon arsenal and sniper optic</x:v>
      </x:c>
      <x:c r="F31" s="39" t="str">
        <x:v>A01, I02</x:v>
      </x:c>
      <x:c r="G31" s="39" t="str">
        <x:v>Mechanical differences in cadence, spread, magazine, range and recoil; actual 4x desktop field-of-view optic, not a crosshair picture.</x:v>
      </x:c>
      <x:c r="H31" s="39" t="str">
        <x:v>Inspect sniper, carbine and scattergun in actual screenshots; test LT and UI compatibility.</x:v>
      </x:c>
      <x:c r="I31" s="39" t="str">
        <x:v>59 current Node checks include weapon definition, ray damage and transfer regressions. Native scope rendering has been inspected; full purchase/shot/save acceptance is tracked in PR39.</x:v>
      </x:c>
    </x:row>
    <x:row r="32" ht="88" customHeight="1">
      <x:c r="A32" s="39" t="str">
        <x:v>B02</x:v>
      </x:c>
      <x:c r="B32" s="39" t="str">
        <x:v>Combat</x:v>
      </x:c>
      <x:c r="C32" s="39" t="str">
        <x:v>P0</x:v>
      </x:c>
      <x:c r="D32" s="39" t="str">
        <x:v>Implemented</x:v>
      </x:c>
      <x:c r="E32" s="39" t="str">
        <x:v>Earned-credit buy and upgrade economy</x:v>
      </x:c>
      <x:c r="F32" s="39" t="str">
        <x:v>B01</x:v>
      </x:c>
      <x:c r="G32" s="39" t="str">
        <x:v>Three world kiosks, meaningful starter loadout choice, per-weapon damage/reload tiers, shield upgrade; insufficient funds rejected. No real-money purchases.</x:v>
      </x:c>
      <x:c r="H32" s="39" t="str">
        <x:v>Verify keyboard/controller shop navigation and prevent double rewards or free refill exploits.</x:v>
      </x:c>
      <x:c r="I32" s="39" t="str">
        <x:v>Model purchases, caps, ammunition and save round trips pass. Native buy-upgrade-continue acceptance is tracked in PR39.</x:v>
      </x:c>
    </x:row>
    <x:row r="33" ht="88" customHeight="1">
      <x:c r="A33" s="39" t="str">
        <x:v>B03</x:v>
      </x:c>
      <x:c r="B33" s="39" t="str">
        <x:v>World</x:v>
      </x:c>
      <x:c r="C33" s="39" t="str">
        <x:v>P0</x:v>
      </x:c>
      <x:c r="D33" s="39" t="str">
        <x:v>Implemented</x:v>
      </x:c>
      <x:c r="E33" s="39" t="str">
        <x:v>Exploration caches and enemy salvage</x:v>
      </x:c>
      <x:c r="F33" s="39" t="str">
        <x:v>B02</x:v>
      </x:c>
      <x:c r="G33" s="39" t="str">
        <x:v>Physical once-only crates and defeated-enemy drops; pickups supply credits/ammunition and selected unlocks; saves cannot repay an already collected crate.</x:v>
      </x:c>
      <x:c r="H33" s="39" t="str">
        <x:v>Tune rewards so exploring a longer route competes with rushing the objectives.</x:v>
      </x:c>
      <x:c r="I33" s="39" t="str">
        <x:v>Sanitized legacy-compatible kit extension and once-only reward tests pass. Native collection acceptance is tracked in PR39.</x:v>
      </x:c>
    </x:row>
    <x:row r="34" ht="88" customHeight="1">
      <x:c r="A34" s="39" t="str">
        <x:v>B04</x:v>
      </x:c>
      <x:c r="B34" s="39" t="str">
        <x:v>Traversal</x:v>
      </x:c>
      <x:c r="C34" s="39" t="str">
        <x:v>P0</x:v>
      </x:c>
      <x:c r="D34" s="39" t="str">
        <x:v>Implemented</x:v>
      </x:c>
      <x:c r="E34" s="39" t="str">
        <x:v>Free-look aimed jump-and-catch transfers</x:v>
      </x:c>
      <x:c r="F34" s="39" t="str">
        <x:v>A01, I02</x:v>
      </x:c>
      <x:c r="G34" s="39" t="str">
        <x:v>Default independent sight while riding; two new adjacent detours, visible eligible rail target, physical release and a second catch action in range.</x:v>
      </x:c>
      <x:c r="H34" s="39" t="str">
        <x:v>Review the receiving line and tolerance while moving; never substitute an instant scene teleport.</x:v>
      </x:c>
      <x:c r="I34" s="39" t="str">
        <x:v>Four directions at five carried-state timings, plus 21 recorded-direction Gale release/delay fixtures and a bounded deliberate-input buffer. Native acceptance is tracked in PR39.</x:v>
      </x:c>
    </x:row>
    <x:row r="35" ht="88" customHeight="1">
      <x:c r="A35" s="39" t="str">
        <x:v>B05</x:v>
      </x:c>
      <x:c r="B35" s="39" t="str">
        <x:v>World</x:v>
      </x:c>
      <x:c r="C35" s="39" t="str">
        <x:v>P0</x:v>
      </x:c>
      <x:c r="D35" s="39" t="str">
        <x:v>Implemented</x:v>
      </x:c>
      <x:c r="E35" s="39" t="str">
        <x:v>Distinct district and enemy silhouettes</x:v>
      </x:c>
      <x:c r="F35" s="39" t="str">
        <x:v>A01, B01</x:v>
      </x:c>
      <x:c r="G35" s="39" t="str">
        <x:v>Original bazaar stalls, glass roof, industrial gantry/chimneys, solar arrays/beacon; scout rotors, armored heavy and sentry wind-up are visibly different.</x:v>
      </x:c>
      <x:c r="H35" s="39" t="str">
        <x:v>Check visual readability, weapon framing, clutter and mobile HUD overlap.</x:v>
      </x:c>
      <x:c r="I35" s="39" t="str">
        <x:v>Native render review identified and corrected blank sign lettering, the stretched rail HUD and phone-control overlap. Final visual acceptance is recorded in PR39.</x:v>
      </x:c>
    </x:row>
    <x:row r="36" ht="88" customHeight="1">
      <x:c r="A36" s="39" t="str">
        <x:v>B06</x:v>
      </x:c>
      <x:c r="B36" s="39" t="str">
        <x:v>Combat</x:v>
      </x:c>
      <x:c r="C36" s="39" t="str">
        <x:v>P1</x:v>
      </x:c>
      <x:c r="D36" s="39" t="str">
        <x:v>Planned</x:v>
      </x:c>
      <x:c r="E36" s="39" t="str">
        <x:v>Encounter balance and player feedback</x:v>
      </x:c>
      <x:c r="F36" s="39" t="str">
        <x:v>B01, B02, B03, B04, B05</x:v>
      </x:c>
      <x:c r="G36" s="39" t="str">
        <x:v>Replay the whole objective loop with varied loadouts; compare risk, ammunition demand, reward rate and alternate paths; retain the accessible foot route.</x:v>
      </x:c>
      <x:c r="H36" s="39" t="str">
        <x:v>Record user feedback and one small repeatable encounter per iteration.</x:v>
      </x:c>
      <x:c r="I36" s="39" t="str">
        <x:v>Not player-reviewed. Automated passage does not certify enjoyable combat.</x:v>
      </x:c>
    </x:row>
    <x:row r="37" ht="88" customHeight="1">
      <x:c r="A37" s="39" t="str">
        <x:v>N02</x:v>
      </x:c>
      <x:c r="B37" s="39" t="str">
        <x:v>Networking</x:v>
      </x:c>
      <x:c r="C37" s="39" t="str">
        <x:v>P1</x:v>
      </x:c>
      <x:c r="D37" s="39" t="str">
        <x:v>Planned</x:v>
      </x:c>
      <x:c r="E37" s="39" t="str">
        <x:v>Actual two-client rooms and replicated movement</x:v>
      </x:c>
      <x:c r="F37" s="39" t="str">
        <x:v>N01</x:v>
      </x:c>
      <x:c r="G37" s="39" t="str">
        <x:v>Two separate browser clients see distinct players, room join/leave, server-owned clock/state and tested latency recovery; no simulated lobby claims.</x:v>
      </x:c>
      <x:c r="H37" s="39" t="str">
        <x:v>Choose and authorize a backend explicitly; implement a minimal two-client movement slice.</x:v>
      </x:c>
      <x:c r="I37" s="39" t="str">
        <x:v>Not implemented. Current public demo is single-player.</x:v>
      </x:c>
    </x:row>
    <x:row r="38" ht="88" customHeight="1">
      <x:c r="A38" s="39" t="str">
        <x:v>N03</x:v>
      </x:c>
      <x:c r="B38" s="39" t="str">
        <x:v>Networking</x:v>
      </x:c>
      <x:c r="C38" s="39" t="str">
        <x:v>P1</x:v>
      </x:c>
      <x:c r="D38" s="39" t="str">
        <x:v>Planned</x:v>
      </x:c>
      <x:c r="E38" s="39" t="str">
        <x:v>Shared loot, buy authority and combat rules</x:v>
      </x:c>
      <x:c r="F38" s="39" t="str">
        <x:v>N02, B02, B03</x:v>
      </x:c>
      <x:c r="G38" s="39" t="str">
        <x:v>Server validates pickup ownership, currency, shot cadence, ammo and damage; duplicate claims and reconnect replay are rejected.</x:v>
      </x:c>
      <x:c r="H38" s="39" t="str">
        <x:v>Add authority tests before drops or shops are shared between players.</x:v>
      </x:c>
      <x:c r="I38" s="39" t="str">
        <x:v>Not implemented. Local single-player saves are not secure multiplayer accounts.</x:v>
      </x:c>
    </x:row>
    <x:row r="39" ht="88" customHeight="1">
      <x:c r="A39" s="39" t="str">
        <x:v>X07</x:v>
      </x:c>
      <x:c r="B39" s="39" t="str">
        <x:v>WebXR</x:v>
      </x:c>
      <x:c r="C39" s="39" t="str">
        <x:v>P1</x:v>
      </x:c>
      <x:c r="D39" s="39" t="str">
        <x:v>Planned</x:v>
      </x:c>
      <x:c r="E39" s="39" t="str">
        <x:v>Magnified tracked weapon optic</x:v>
      </x:c>
      <x:c r="F39" s="39" t="str">
        <x:v>X04, X05, B01</x:v>
      </x:c>
      <x:c r="G39" s="39" t="str">
        <x:v>Render a real weapon-mounted magnified view within headset frame budget; do not zoom the whole tracked head/eye projection.</x:v>
      </x:c>
      <x:c r="H39" s="39" t="str">
        <x:v>Measure a render-target optic on real Quest 3 with independent head motion and readable lens.</x:v>
      </x:c>
      <x:c r="I39" s="39" t="str">
        <x:v>Desktop scope exists; the XR precision ray does not have a magnified optic.</x:v>
      </x:c>
    </x:row>
  </x:sheetData>
  <x:mergeCells>
    <x:mergeCell ref="A1:I1"/>
    <x:mergeCell ref="A2:I2"/>
  </x:mergeCells>
  <x:conditionalFormatting sqref="D5:D30">
    <x:cfRule type="expression" dxfId="0" priority="1">
      <x:formula>D5="Hardware QA"</x:formula>
    </x:cfRule>
    <x:cfRule type="expression" dxfId="1" priority="2">
      <x:formula>D5="Released"</x:formula>
    </x:cfRule>
  </x:conditionalFormatting>
  <x:dataValidations count="3">
    <x:dataValidation type="list" sqref="D5:D30">
      <x:formula1>"Planned,Implemented,In review,Browser checked,Hardware QA,Released,Deferred"</x:formula1>
    </x:dataValidation>
    <x:dataValidation type="list" sqref="C5:C30">
      <x:formula1>"P0,P1,P2"</x:formula1>
    </x:dataValidation>
    <x:dataValidation type="list" sqref="D5:D39">
      <x:formula1>"Planned,Implemented,In review,Browser checked,Hardware QA,Released,Deferred"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94ce4cea0e4f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3" hidden="0" customWidth="1"/>
    <x:col min="4" max="4" width="23" hidden="0" customWidth="1"/>
    <x:col min="5" max="5" width="40" hidden="0" customWidth="1"/>
  </x:cols>
  <x:sheetData>
    <x:row r="1" ht="36" customHeight="1">
      <x:c r="A1" s="22" t="str">
        <x:v>DEPENDENCIES</x:v>
      </x:c>
      <x:c r="B1" s="22"/>
      <x:c r="C1" s="22"/>
      <x:c r="D1" s="22"/>
      <x:c r="E1" s="22"/>
    </x:row>
    <x:row r="2" ht="28" customHeight="1">
      <x:c r="A2" s="25" t="str">
        <x:v>Aether Reach • Public engine development • Updated 2026-09-06 • Physical device gates are not inferred from emulation.</x:v>
      </x:c>
      <x:c r="B2" s="25"/>
      <x:c r="C2" s="25"/>
      <x:c r="D2" s="25"/>
      <x:c r="E2" s="25"/>
    </x:row>
    <x:row r="4" ht="30" customHeight="1">
      <x:c r="A4" s="35" t="str">
        <x:v>Feature ID</x:v>
      </x:c>
      <x:c r="B4" s="35" t="str">
        <x:v>Depends on</x:v>
      </x:c>
      <x:c r="C4" s="35" t="str">
        <x:v>Feature status</x:v>
      </x:c>
      <x:c r="D4" s="35" t="str">
        <x:v>Prerequisite status</x:v>
      </x:c>
      <x:c r="E4" s="35" t="str">
        <x:v>Meaning</x:v>
      </x:c>
    </x:row>
    <x:row r="5" ht="48" customHeight="1">
      <x:c r="A5" s="30" t="str">
        <x:v>I01</x:v>
      </x:c>
      <x:c r="B5" s="30" t="str">
        <x:v>A01</x:v>
      </x:c>
      <x:c r="C5" s="30" t="str">
        <x:f>IFERROR(VLOOKUP(A5,Roadmap!$A$5:$I$39,4,FALSE),"MISSING ID")</x:f>
        <x:v>Browser checked</x:v>
      </x:c>
      <x:c r="D5" s="30" t="str">
        <x:f>IFERROR(VLOOKUP(B5,Roadmap!$A$5:$I$39,4,FALSE),"MISSING ID")</x:f>
        <x:v>Released</x:v>
      </x:c>
      <x:c r="E5" s="30" t="str">
        <x:v>Prerequisite must be satisfied at the relevant implementation / release / hardware gate.</x:v>
      </x:c>
    </x:row>
    <x:row r="6" ht="48" customHeight="1">
      <x:c r="A6" s="30" t="str">
        <x:v>I02</x:v>
      </x:c>
      <x:c r="B6" s="30" t="str">
        <x:v>I01</x:v>
      </x:c>
      <x:c r="C6" s="30" t="str">
        <x:f>IFERROR(VLOOKUP(A6,Roadmap!$A$5:$I$39,4,FALSE),"MISSING ID")</x:f>
        <x:v>Browser checked</x:v>
      </x:c>
      <x:c r="D6" s="30" t="str">
        <x:f>IFERROR(VLOOKUP(B6,Roadmap!$A$5:$I$39,4,FALSE),"MISSING ID")</x:f>
        <x:v>Browser checked</x:v>
      </x:c>
      <x:c r="E6" s="30" t="str">
        <x:v>Prerequisite must be satisfied at the relevant implementation / release / hardware gate.</x:v>
      </x:c>
    </x:row>
    <x:row r="7" ht="48" customHeight="1">
      <x:c r="A7" s="30" t="str">
        <x:v>I03</x:v>
      </x:c>
      <x:c r="B7" s="30" t="str">
        <x:v>I02</x:v>
      </x:c>
      <x:c r="C7" s="30" t="str">
        <x:f>IFERROR(VLOOKUP(A7,Roadmap!$A$5:$I$39,4,FALSE),"MISSING ID")</x:f>
        <x:v>Hardware QA</x:v>
      </x:c>
      <x:c r="D7" s="30" t="str">
        <x:f>IFERROR(VLOOKUP(B7,Roadmap!$A$5:$I$39,4,FALSE),"MISSING ID")</x:f>
        <x:v>Browser checked</x:v>
      </x:c>
      <x:c r="E7" s="30" t="str">
        <x:v>Prerequisite must be satisfied at the relevant implementation / release / hardware gate.</x:v>
      </x:c>
    </x:row>
    <x:row r="8" ht="48" customHeight="1">
      <x:c r="A8" s="30" t="str">
        <x:v>I04</x:v>
      </x:c>
      <x:c r="B8" s="30" t="str">
        <x:v>I02</x:v>
      </x:c>
      <x:c r="C8" s="30" t="str">
        <x:f>IFERROR(VLOOKUP(A8,Roadmap!$A$5:$I$39,4,FALSE),"MISSING ID")</x:f>
        <x:v>Planned</x:v>
      </x:c>
      <x:c r="D8" s="30" t="str">
        <x:f>IFERROR(VLOOKUP(B8,Roadmap!$A$5:$I$39,4,FALSE),"MISSING ID")</x:f>
        <x:v>Browser checked</x:v>
      </x:c>
      <x:c r="E8" s="30" t="str">
        <x:v>Prerequisite must be satisfied at the relevant implementation / release / hardware gate.</x:v>
      </x:c>
    </x:row>
    <x:row r="9" ht="48" customHeight="1">
      <x:c r="A9" s="30" t="str">
        <x:v>X01</x:v>
      </x:c>
      <x:c r="B9" s="30" t="str">
        <x:v>I01</x:v>
      </x:c>
      <x:c r="C9" s="30" t="str">
        <x:f>IFERROR(VLOOKUP(A9,Roadmap!$A$5:$I$39,4,FALSE),"MISSING ID")</x:f>
        <x:v>Browser checked</x:v>
      </x:c>
      <x:c r="D9" s="30" t="str">
        <x:f>IFERROR(VLOOKUP(B9,Roadmap!$A$5:$I$39,4,FALSE),"MISSING ID")</x:f>
        <x:v>Browser checked</x:v>
      </x:c>
      <x:c r="E9" s="30" t="str">
        <x:v>Prerequisite must be satisfied at the relevant implementation / release / hardware gate.</x:v>
      </x:c>
    </x:row>
    <x:row r="10" ht="48" customHeight="1">
      <x:c r="A10" s="30" t="str">
        <x:v>X02</x:v>
      </x:c>
      <x:c r="B10" s="30" t="str">
        <x:v>X01</x:v>
      </x:c>
      <x:c r="C10" s="30" t="str">
        <x:f>IFERROR(VLOOKUP(A10,Roadmap!$A$5:$I$39,4,FALSE),"MISSING ID")</x:f>
        <x:v>Browser checked</x:v>
      </x:c>
      <x:c r="D10" s="30" t="str">
        <x:f>IFERROR(VLOOKUP(B10,Roadmap!$A$5:$I$39,4,FALSE),"MISSING ID")</x:f>
        <x:v>Browser checked</x:v>
      </x:c>
      <x:c r="E10" s="30" t="str">
        <x:v>Prerequisite must be satisfied at the relevant implementation / release / hardware gate.</x:v>
      </x:c>
    </x:row>
    <x:row r="11" ht="48" customHeight="1">
      <x:c r="A11" s="30" t="str">
        <x:v>X03</x:v>
      </x:c>
      <x:c r="B11" s="30" t="str">
        <x:v>X02</x:v>
      </x:c>
      <x:c r="C11" s="30" t="str">
        <x:f>IFERROR(VLOOKUP(A11,Roadmap!$A$5:$I$39,4,FALSE),"MISSING ID")</x:f>
        <x:v>Browser checked</x:v>
      </x:c>
      <x:c r="D11" s="30" t="str">
        <x:f>IFERROR(VLOOKUP(B11,Roadmap!$A$5:$I$39,4,FALSE),"MISSING ID")</x:f>
        <x:v>Browser checked</x:v>
      </x:c>
      <x:c r="E11" s="30" t="str">
        <x:v>Prerequisite must be satisfied at the relevant implementation / release / hardware gate.</x:v>
      </x:c>
    </x:row>
    <x:row r="12" ht="48" customHeight="1">
      <x:c r="A12" s="30" t="str">
        <x:v>X04</x:v>
      </x:c>
      <x:c r="B12" s="30" t="str">
        <x:v>X01</x:v>
      </x:c>
      <x:c r="C12" s="30" t="str">
        <x:f>IFERROR(VLOOKUP(A12,Roadmap!$A$5:$I$39,4,FALSE),"MISSING ID")</x:f>
        <x:v>Hardware QA</x:v>
      </x:c>
      <x:c r="D12" s="30" t="str">
        <x:f>IFERROR(VLOOKUP(B12,Roadmap!$A$5:$I$39,4,FALSE),"MISSING ID")</x:f>
        <x:v>Browser checked</x:v>
      </x:c>
      <x:c r="E12" s="30" t="str">
        <x:v>Prerequisite must be satisfied at the relevant implementation / release / hardware gate.</x:v>
      </x:c>
    </x:row>
    <x:row r="13" ht="48" customHeight="1">
      <x:c r="A13" s="30" t="str">
        <x:v>X04</x:v>
      </x:c>
      <x:c r="B13" s="30" t="str">
        <x:v>X02</x:v>
      </x:c>
      <x:c r="C13" s="30" t="str">
        <x:f>IFERROR(VLOOKUP(A13,Roadmap!$A$5:$I$39,4,FALSE),"MISSING ID")</x:f>
        <x:v>Hardware QA</x:v>
      </x:c>
      <x:c r="D13" s="30" t="str">
        <x:f>IFERROR(VLOOKUP(B13,Roadmap!$A$5:$I$39,4,FALSE),"MISSING ID")</x:f>
        <x:v>Browser checked</x:v>
      </x:c>
      <x:c r="E13" s="30" t="str">
        <x:v>Prerequisite must be satisfied at the relevant implementation / release / hardware gate.</x:v>
      </x:c>
    </x:row>
    <x:row r="14" ht="48" customHeight="1">
      <x:c r="A14" s="30" t="str">
        <x:v>X04</x:v>
      </x:c>
      <x:c r="B14" s="30" t="str">
        <x:v>X03</x:v>
      </x:c>
      <x:c r="C14" s="30" t="str">
        <x:f>IFERROR(VLOOKUP(A14,Roadmap!$A$5:$I$39,4,FALSE),"MISSING ID")</x:f>
        <x:v>Hardware QA</x:v>
      </x:c>
      <x:c r="D14" s="30" t="str">
        <x:f>IFERROR(VLOOKUP(B14,Roadmap!$A$5:$I$39,4,FALSE),"MISSING ID")</x:f>
        <x:v>Browser checked</x:v>
      </x:c>
      <x:c r="E14" s="30" t="str">
        <x:v>Prerequisite must be satisfied at the relevant implementation / release / hardware gate.</x:v>
      </x:c>
    </x:row>
    <x:row r="15" ht="48" customHeight="1">
      <x:c r="A15" s="30" t="str">
        <x:v>X05</x:v>
      </x:c>
      <x:c r="B15" s="30" t="str">
        <x:v>X04</x:v>
      </x:c>
      <x:c r="C15" s="30" t="str">
        <x:f>IFERROR(VLOOKUP(A15,Roadmap!$A$5:$I$39,4,FALSE),"MISSING ID")</x:f>
        <x:v>Hardware QA</x:v>
      </x:c>
      <x:c r="D15" s="30" t="str">
        <x:f>IFERROR(VLOOKUP(B15,Roadmap!$A$5:$I$39,4,FALSE),"MISSING ID")</x:f>
        <x:v>Hardware QA</x:v>
      </x:c>
      <x:c r="E15" s="30" t="str">
        <x:v>Prerequisite must be satisfied at the relevant implementation / release / hardware gate.</x:v>
      </x:c>
    </x:row>
    <x:row r="16" ht="48" customHeight="1">
      <x:c r="A16" s="30" t="str">
        <x:v>X06</x:v>
      </x:c>
      <x:c r="B16" s="30" t="str">
        <x:v>X04</x:v>
      </x:c>
      <x:c r="C16" s="30" t="str">
        <x:f>IFERROR(VLOOKUP(A16,Roadmap!$A$5:$I$39,4,FALSE),"MISSING ID")</x:f>
        <x:v>Planned</x:v>
      </x:c>
      <x:c r="D16" s="30" t="str">
        <x:f>IFERROR(VLOOKUP(B16,Roadmap!$A$5:$I$39,4,FALSE),"MISSING ID")</x:f>
        <x:v>Hardware QA</x:v>
      </x:c>
      <x:c r="E16" s="30" t="str">
        <x:v>Prerequisite must be satisfied at the relevant implementation / release / hardware gate.</x:v>
      </x:c>
    </x:row>
    <x:row r="17" ht="48" customHeight="1">
      <x:c r="A17" s="30" t="str">
        <x:v>M01</x:v>
      </x:c>
      <x:c r="B17" s="30" t="str">
        <x:v>X04</x:v>
      </x:c>
      <x:c r="C17" s="30" t="str">
        <x:f>IFERROR(VLOOKUP(A17,Roadmap!$A$5:$I$39,4,FALSE),"MISSING ID")</x:f>
        <x:v>Planned</x:v>
      </x:c>
      <x:c r="D17" s="30" t="str">
        <x:f>IFERROR(VLOOKUP(B17,Roadmap!$A$5:$I$39,4,FALSE),"MISSING ID")</x:f>
        <x:v>Hardware QA</x:v>
      </x:c>
      <x:c r="E17" s="30" t="str">
        <x:v>Prerequisite must be satisfied at the relevant implementation / release / hardware gate.</x:v>
      </x:c>
    </x:row>
    <x:row r="18" ht="48" customHeight="1">
      <x:c r="A18" s="30" t="str">
        <x:v>M01</x:v>
      </x:c>
      <x:c r="B18" s="30" t="str">
        <x:v>X05</x:v>
      </x:c>
      <x:c r="C18" s="30" t="str">
        <x:f>IFERROR(VLOOKUP(A18,Roadmap!$A$5:$I$39,4,FALSE),"MISSING ID")</x:f>
        <x:v>Planned</x:v>
      </x:c>
      <x:c r="D18" s="30" t="str">
        <x:f>IFERROR(VLOOKUP(B18,Roadmap!$A$5:$I$39,4,FALSE),"MISSING ID")</x:f>
        <x:v>Hardware QA</x:v>
      </x:c>
      <x:c r="E18" s="30" t="str">
        <x:v>Prerequisite must be satisfied at the relevant implementation / release / hardware gate.</x:v>
      </x:c>
    </x:row>
    <x:row r="19" ht="48" customHeight="1">
      <x:c r="A19" s="30" t="str">
        <x:v>M02</x:v>
      </x:c>
      <x:c r="B19" s="30" t="str">
        <x:v>X04</x:v>
      </x:c>
      <x:c r="C19" s="30" t="str">
        <x:f>IFERROR(VLOOKUP(A19,Roadmap!$A$5:$I$39,4,FALSE),"MISSING ID")</x:f>
        <x:v>Planned</x:v>
      </x:c>
      <x:c r="D19" s="30" t="str">
        <x:f>IFERROR(VLOOKUP(B19,Roadmap!$A$5:$I$39,4,FALSE),"MISSING ID")</x:f>
        <x:v>Hardware QA</x:v>
      </x:c>
      <x:c r="E19" s="30" t="str">
        <x:v>Prerequisite must be satisfied at the relevant implementation / release / hardware gate.</x:v>
      </x:c>
    </x:row>
    <x:row r="20" ht="48" customHeight="1">
      <x:c r="A20" s="30" t="str">
        <x:v>M03</x:v>
      </x:c>
      <x:c r="B20" s="30" t="str">
        <x:v>M01</x:v>
      </x:c>
      <x:c r="C20" s="30" t="str">
        <x:f>IFERROR(VLOOKUP(A20,Roadmap!$A$5:$I$39,4,FALSE),"MISSING ID")</x:f>
        <x:v>Planned</x:v>
      </x:c>
      <x:c r="D20" s="30" t="str">
        <x:f>IFERROR(VLOOKUP(B20,Roadmap!$A$5:$I$39,4,FALSE),"MISSING ID")</x:f>
        <x:v>Planned</x:v>
      </x:c>
      <x:c r="E20" s="30" t="str">
        <x:v>Prerequisite must be satisfied at the relevant implementation / release / hardware gate.</x:v>
      </x:c>
    </x:row>
    <x:row r="21" ht="48" customHeight="1">
      <x:c r="A21" s="30" t="str">
        <x:v>M03</x:v>
      </x:c>
      <x:c r="B21" s="30" t="str">
        <x:v>M02</x:v>
      </x:c>
      <x:c r="C21" s="30" t="str">
        <x:f>IFERROR(VLOOKUP(A21,Roadmap!$A$5:$I$39,4,FALSE),"MISSING ID")</x:f>
        <x:v>Planned</x:v>
      </x:c>
      <x:c r="D21" s="30" t="str">
        <x:f>IFERROR(VLOOKUP(B21,Roadmap!$A$5:$I$39,4,FALSE),"MISSING ID")</x:f>
        <x:v>Planned</x:v>
      </x:c>
      <x:c r="E21" s="30" t="str">
        <x:v>Prerequisite must be satisfied at the relevant implementation / release / hardware gate.</x:v>
      </x:c>
    </x:row>
    <x:row r="22" ht="48" customHeight="1">
      <x:c r="A22" s="30" t="str">
        <x:v>M04</x:v>
      </x:c>
      <x:c r="B22" s="30" t="str">
        <x:v>A01</x:v>
      </x:c>
      <x:c r="C22" s="30" t="str">
        <x:f>IFERROR(VLOOKUP(A22,Roadmap!$A$5:$I$39,4,FALSE),"MISSING ID")</x:f>
        <x:v>Planned</x:v>
      </x:c>
      <x:c r="D22" s="30" t="str">
        <x:f>IFERROR(VLOOKUP(B22,Roadmap!$A$5:$I$39,4,FALSE),"MISSING ID")</x:f>
        <x:v>Released</x:v>
      </x:c>
      <x:c r="E22" s="30" t="str">
        <x:v>Prerequisite must be satisfied at the relevant implementation / release / hardware gate.</x:v>
      </x:c>
    </x:row>
    <x:row r="23" ht="48" customHeight="1">
      <x:c r="A23" s="30" t="str">
        <x:v>M04</x:v>
      </x:c>
      <x:c r="B23" s="30" t="str">
        <x:v>M02</x:v>
      </x:c>
      <x:c r="C23" s="30" t="str">
        <x:f>IFERROR(VLOOKUP(A23,Roadmap!$A$5:$I$39,4,FALSE),"MISSING ID")</x:f>
        <x:v>Planned</x:v>
      </x:c>
      <x:c r="D23" s="30" t="str">
        <x:f>IFERROR(VLOOKUP(B23,Roadmap!$A$5:$I$39,4,FALSE),"MISSING ID")</x:f>
        <x:v>Planned</x:v>
      </x:c>
      <x:c r="E23" s="30" t="str">
        <x:v>Prerequisite must be satisfied at the relevant implementation / release / hardware gate.</x:v>
      </x:c>
    </x:row>
    <x:row r="24" ht="48" customHeight="1">
      <x:c r="A24" s="30" t="str">
        <x:v>C01</x:v>
      </x:c>
      <x:c r="B24" s="30" t="str">
        <x:v>X04</x:v>
      </x:c>
      <x:c r="C24" s="30" t="str">
        <x:f>IFERROR(VLOOKUP(A24,Roadmap!$A$5:$I$39,4,FALSE),"MISSING ID")</x:f>
        <x:v>Planned</x:v>
      </x:c>
      <x:c r="D24" s="30" t="str">
        <x:f>IFERROR(VLOOKUP(B24,Roadmap!$A$5:$I$39,4,FALSE),"MISSING ID")</x:f>
        <x:v>Hardware QA</x:v>
      </x:c>
      <x:c r="E24" s="30" t="str">
        <x:v>Prerequisite must be satisfied at the relevant implementation / release / hardware gate.</x:v>
      </x:c>
    </x:row>
    <x:row r="25" ht="48" customHeight="1">
      <x:c r="A25" s="30" t="str">
        <x:v>C02</x:v>
      </x:c>
      <x:c r="B25" s="30" t="str">
        <x:v>X05</x:v>
      </x:c>
      <x:c r="C25" s="30" t="str">
        <x:f>IFERROR(VLOOKUP(A25,Roadmap!$A$5:$I$39,4,FALSE),"MISSING ID")</x:f>
        <x:v>Planned</x:v>
      </x:c>
      <x:c r="D25" s="30" t="str">
        <x:f>IFERROR(VLOOKUP(B25,Roadmap!$A$5:$I$39,4,FALSE),"MISSING ID")</x:f>
        <x:v>Hardware QA</x:v>
      </x:c>
      <x:c r="E25" s="30" t="str">
        <x:v>Prerequisite must be satisfied at the relevant implementation / release / hardware gate.</x:v>
      </x:c>
    </x:row>
    <x:row r="26" ht="48" customHeight="1">
      <x:c r="A26" s="30" t="str">
        <x:v>C02</x:v>
      </x:c>
      <x:c r="B26" s="30" t="str">
        <x:v>C01</x:v>
      </x:c>
      <x:c r="C26" s="30" t="str">
        <x:f>IFERROR(VLOOKUP(A26,Roadmap!$A$5:$I$39,4,FALSE),"MISSING ID")</x:f>
        <x:v>Planned</x:v>
      </x:c>
      <x:c r="D26" s="30" t="str">
        <x:f>IFERROR(VLOOKUP(B26,Roadmap!$A$5:$I$39,4,FALSE),"MISSING ID")</x:f>
        <x:v>Planned</x:v>
      </x:c>
      <x:c r="E26" s="30" t="str">
        <x:v>Prerequisite must be satisfied at the relevant implementation / release / hardware gate.</x:v>
      </x:c>
    </x:row>
    <x:row r="27" ht="48" customHeight="1">
      <x:c r="A27" s="30" t="str">
        <x:v>C03</x:v>
      </x:c>
      <x:c r="B27" s="30" t="str">
        <x:v>M03</x:v>
      </x:c>
      <x:c r="C27" s="30" t="str">
        <x:f>IFERROR(VLOOKUP(A27,Roadmap!$A$5:$I$39,4,FALSE),"MISSING ID")</x:f>
        <x:v>Planned</x:v>
      </x:c>
      <x:c r="D27" s="30" t="str">
        <x:f>IFERROR(VLOOKUP(B27,Roadmap!$A$5:$I$39,4,FALSE),"MISSING ID")</x:f>
        <x:v>Planned</x:v>
      </x:c>
      <x:c r="E27" s="30" t="str">
        <x:v>Prerequisite must be satisfied at the relevant implementation / release / hardware gate.</x:v>
      </x:c>
    </x:row>
    <x:row r="28" ht="48" customHeight="1">
      <x:c r="A28" s="30" t="str">
        <x:v>C03</x:v>
      </x:c>
      <x:c r="B28" s="30" t="str">
        <x:v>C02</x:v>
      </x:c>
      <x:c r="C28" s="30" t="str">
        <x:f>IFERROR(VLOOKUP(A28,Roadmap!$A$5:$I$39,4,FALSE),"MISSING ID")</x:f>
        <x:v>Planned</x:v>
      </x:c>
      <x:c r="D28" s="30" t="str">
        <x:f>IFERROR(VLOOKUP(B28,Roadmap!$A$5:$I$39,4,FALSE),"MISSING ID")</x:f>
        <x:v>Planned</x:v>
      </x:c>
      <x:c r="E28" s="30" t="str">
        <x:v>Prerequisite must be satisfied at the relevant implementation / release / hardware gate.</x:v>
      </x:c>
    </x:row>
    <x:row r="29" ht="48" customHeight="1">
      <x:c r="A29" s="30" t="str">
        <x:v>W01</x:v>
      </x:c>
      <x:c r="B29" s="30" t="str">
        <x:v>A01</x:v>
      </x:c>
      <x:c r="C29" s="30" t="str">
        <x:f>IFERROR(VLOOKUP(A29,Roadmap!$A$5:$I$39,4,FALSE),"MISSING ID")</x:f>
        <x:v>Planned</x:v>
      </x:c>
      <x:c r="D29" s="30" t="str">
        <x:f>IFERROR(VLOOKUP(B29,Roadmap!$A$5:$I$39,4,FALSE),"MISSING ID")</x:f>
        <x:v>Released</x:v>
      </x:c>
      <x:c r="E29" s="30" t="str">
        <x:v>Prerequisite must be satisfied at the relevant implementation / release / hardware gate.</x:v>
      </x:c>
    </x:row>
    <x:row r="30" ht="48" customHeight="1">
      <x:c r="A30" s="30" t="str">
        <x:v>W01</x:v>
      </x:c>
      <x:c r="B30" s="30" t="str">
        <x:v>X05</x:v>
      </x:c>
      <x:c r="C30" s="30" t="str">
        <x:f>IFERROR(VLOOKUP(A30,Roadmap!$A$5:$I$39,4,FALSE),"MISSING ID")</x:f>
        <x:v>Planned</x:v>
      </x:c>
      <x:c r="D30" s="30" t="str">
        <x:f>IFERROR(VLOOKUP(B30,Roadmap!$A$5:$I$39,4,FALSE),"MISSING ID")</x:f>
        <x:v>Hardware QA</x:v>
      </x:c>
      <x:c r="E30" s="30" t="str">
        <x:v>Prerequisite must be satisfied at the relevant implementation / release / hardware gate.</x:v>
      </x:c>
    </x:row>
    <x:row r="31" ht="48" customHeight="1">
      <x:c r="A31" s="30" t="str">
        <x:v>W02</x:v>
      </x:c>
      <x:c r="B31" s="30" t="str">
        <x:v>X05</x:v>
      </x:c>
      <x:c r="C31" s="30" t="str">
        <x:f>IFERROR(VLOOKUP(A31,Roadmap!$A$5:$I$39,4,FALSE),"MISSING ID")</x:f>
        <x:v>Planned</x:v>
      </x:c>
      <x:c r="D31" s="30" t="str">
        <x:f>IFERROR(VLOOKUP(B31,Roadmap!$A$5:$I$39,4,FALSE),"MISSING ID")</x:f>
        <x:v>Hardware QA</x:v>
      </x:c>
      <x:c r="E31" s="30" t="str">
        <x:v>Prerequisite must be satisfied at the relevant implementation / release / hardware gate.</x:v>
      </x:c>
    </x:row>
    <x:row r="32" ht="48" customHeight="1">
      <x:c r="A32" s="30" t="str">
        <x:v>E01</x:v>
      </x:c>
      <x:c r="B32" s="30" t="str">
        <x:v>M03</x:v>
      </x:c>
      <x:c r="C32" s="30" t="str">
        <x:f>IFERROR(VLOOKUP(A32,Roadmap!$A$5:$I$39,4,FALSE),"MISSING ID")</x:f>
        <x:v>Planned</x:v>
      </x:c>
      <x:c r="D32" s="30" t="str">
        <x:f>IFERROR(VLOOKUP(B32,Roadmap!$A$5:$I$39,4,FALSE),"MISSING ID")</x:f>
        <x:v>Planned</x:v>
      </x:c>
      <x:c r="E32" s="30" t="str">
        <x:v>Prerequisite must be satisfied at the relevant implementation / release / hardware gate.</x:v>
      </x:c>
    </x:row>
    <x:row r="33" ht="48" customHeight="1">
      <x:c r="A33" s="30" t="str">
        <x:v>E02</x:v>
      </x:c>
      <x:c r="B33" s="30" t="str">
        <x:v>E01</x:v>
      </x:c>
      <x:c r="C33" s="30" t="str">
        <x:f>IFERROR(VLOOKUP(A33,Roadmap!$A$5:$I$39,4,FALSE),"MISSING ID")</x:f>
        <x:v>Deferred</x:v>
      </x:c>
      <x:c r="D33" s="30" t="str">
        <x:f>IFERROR(VLOOKUP(B33,Roadmap!$A$5:$I$39,4,FALSE),"MISSING ID")</x:f>
        <x:v>Planned</x:v>
      </x:c>
      <x:c r="E33" s="30" t="str">
        <x:v>Prerequisite must be satisfied at the relevant implementation / release / hardware gate.</x:v>
      </x:c>
    </x:row>
    <x:row r="34" ht="48" customHeight="1">
      <x:c r="A34" s="30" t="str">
        <x:v>N01</x:v>
      </x:c>
      <x:c r="B34" s="30" t="str">
        <x:v>I02</x:v>
      </x:c>
      <x:c r="C34" s="30" t="str">
        <x:f>IFERROR(VLOOKUP(A34,Roadmap!$A$5:$I$39,4,FALSE),"MISSING ID")</x:f>
        <x:v>Planned</x:v>
      </x:c>
      <x:c r="D34" s="30" t="str">
        <x:f>IFERROR(VLOOKUP(B34,Roadmap!$A$5:$I$39,4,FALSE),"MISSING ID")</x:f>
        <x:v>Browser checked</x:v>
      </x:c>
      <x:c r="E34" s="30" t="str">
        <x:v>Prerequisite must be satisfied at the relevant implementation / release / hardware gate.</x:v>
      </x:c>
    </x:row>
    <x:row r="35" ht="48" customHeight="1">
      <x:c r="A35" s="30" t="str">
        <x:v>N01</x:v>
      </x:c>
      <x:c r="B35" s="30" t="str">
        <x:v>B01</x:v>
      </x:c>
      <x:c r="C35" s="30" t="str">
        <x:f>IFERROR(VLOOKUP(A35,Roadmap!$A$5:$I$39,4,FALSE),"MISSING ID")</x:f>
        <x:v>Planned</x:v>
      </x:c>
      <x:c r="D35" s="30" t="str">
        <x:f>IFERROR(VLOOKUP(B35,Roadmap!$A$5:$I$39,4,FALSE),"MISSING ID")</x:f>
        <x:v>Implemented</x:v>
      </x:c>
      <x:c r="E35" s="30" t="str">
        <x:v>Prerequisite must be satisfied at the relevant implementation / release / hardware gate.</x:v>
      </x:c>
    </x:row>
    <x:row r="36" ht="48" customHeight="1">
      <x:c r="A36" s="30" t="str">
        <x:v>N01</x:v>
      </x:c>
      <x:c r="B36" s="30" t="str">
        <x:v>B03</x:v>
      </x:c>
      <x:c r="C36" s="30" t="str">
        <x:f>IFERROR(VLOOKUP(A36,Roadmap!$A$5:$I$39,4,FALSE),"MISSING ID")</x:f>
        <x:v>Planned</x:v>
      </x:c>
      <x:c r="D36" s="30" t="str">
        <x:f>IFERROR(VLOOKUP(B36,Roadmap!$A$5:$I$39,4,FALSE),"MISSING ID")</x:f>
        <x:v>Implemented</x:v>
      </x:c>
      <x:c r="E36" s="30" t="str">
        <x:v>Prerequisite must be satisfied at the relevant implementation / release / hardware gate.</x:v>
      </x:c>
    </x:row>
    <x:row r="37" ht="48" customHeight="1">
      <x:c r="A37" s="30" t="str">
        <x:v>R02</x:v>
      </x:c>
      <x:c r="B37" s="30" t="str">
        <x:v>I01</x:v>
      </x:c>
      <x:c r="C37" s="30" t="str">
        <x:f>IFERROR(VLOOKUP(A37,Roadmap!$A$5:$I$39,4,FALSE),"MISSING ID")</x:f>
        <x:v>Browser checked</x:v>
      </x:c>
      <x:c r="D37" s="30" t="str">
        <x:f>IFERROR(VLOOKUP(B37,Roadmap!$A$5:$I$39,4,FALSE),"MISSING ID")</x:f>
        <x:v>Browser checked</x:v>
      </x:c>
      <x:c r="E37" s="30" t="str">
        <x:v>Prerequisite must be satisfied at the relevant implementation / release / hardware gate.</x:v>
      </x:c>
    </x:row>
    <x:row r="38" ht="48" customHeight="1">
      <x:c r="A38" s="30" t="str">
        <x:v>R02</x:v>
      </x:c>
      <x:c r="B38" s="30" t="str">
        <x:v>I02</x:v>
      </x:c>
      <x:c r="C38" s="30" t="str">
        <x:f>IFERROR(VLOOKUP(A38,Roadmap!$A$5:$I$39,4,FALSE),"MISSING ID")</x:f>
        <x:v>Browser checked</x:v>
      </x:c>
      <x:c r="D38" s="30" t="str">
        <x:f>IFERROR(VLOOKUP(B38,Roadmap!$A$5:$I$39,4,FALSE),"MISSING ID")</x:f>
        <x:v>Browser checked</x:v>
      </x:c>
      <x:c r="E38" s="30" t="str">
        <x:v>Prerequisite must be satisfied at the relevant implementation / release / hardware gate.</x:v>
      </x:c>
    </x:row>
    <x:row r="39" ht="48" customHeight="1">
      <x:c r="A39" s="30" t="str">
        <x:v>R02</x:v>
      </x:c>
      <x:c r="B39" s="30" t="str">
        <x:v>X01</x:v>
      </x:c>
      <x:c r="C39" s="30" t="str">
        <x:f>IFERROR(VLOOKUP(A39,Roadmap!$A$5:$I$39,4,FALSE),"MISSING ID")</x:f>
        <x:v>Browser checked</x:v>
      </x:c>
      <x:c r="D39" s="30" t="str">
        <x:f>IFERROR(VLOOKUP(B39,Roadmap!$A$5:$I$39,4,FALSE),"MISSING ID")</x:f>
        <x:v>Browser checked</x:v>
      </x:c>
      <x:c r="E39" s="30" t="str">
        <x:v>Prerequisite must be satisfied at the relevant implementation / release / hardware gate.</x:v>
      </x:c>
    </x:row>
    <x:row r="40" ht="48" customHeight="1">
      <x:c r="A40" s="30" t="str">
        <x:v>R02</x:v>
      </x:c>
      <x:c r="B40" s="30" t="str">
        <x:v>X02</x:v>
      </x:c>
      <x:c r="C40" s="30" t="str">
        <x:f>IFERROR(VLOOKUP(A40,Roadmap!$A$5:$I$39,4,FALSE),"MISSING ID")</x:f>
        <x:v>Browser checked</x:v>
      </x:c>
      <x:c r="D40" s="30" t="str">
        <x:f>IFERROR(VLOOKUP(B40,Roadmap!$A$5:$I$39,4,FALSE),"MISSING ID")</x:f>
        <x:v>Browser checked</x:v>
      </x:c>
      <x:c r="E40" s="30" t="str">
        <x:v>Prerequisite must be satisfied at the relevant implementation / release / hardware gate.</x:v>
      </x:c>
    </x:row>
    <x:row r="41" ht="48" customHeight="1">
      <x:c r="A41" s="30" t="str">
        <x:v>R02</x:v>
      </x:c>
      <x:c r="B41" s="30" t="str">
        <x:v>X03</x:v>
      </x:c>
      <x:c r="C41" s="30" t="str">
        <x:f>IFERROR(VLOOKUP(A41,Roadmap!$A$5:$I$39,4,FALSE),"MISSING ID")</x:f>
        <x:v>Browser checked</x:v>
      </x:c>
      <x:c r="D41" s="30" t="str">
        <x:f>IFERROR(VLOOKUP(B41,Roadmap!$A$5:$I$39,4,FALSE),"MISSING ID")</x:f>
        <x:v>Browser checked</x:v>
      </x:c>
      <x:c r="E41" s="30" t="str">
        <x:v>Prerequisite must be satisfied at the relevant implementation / release / hardware gate.</x:v>
      </x:c>
    </x:row>
    <x:row r="42" ht="48" customHeight="1">
      <x:c r="A42" s="30" t="str">
        <x:v>R02</x:v>
      </x:c>
      <x:c r="B42" s="30" t="str">
        <x:v>R01</x:v>
      </x:c>
      <x:c r="C42" s="30" t="str">
        <x:f>IFERROR(VLOOKUP(A42,Roadmap!$A$5:$I$39,4,FALSE),"MISSING ID")</x:f>
        <x:v>Browser checked</x:v>
      </x:c>
      <x:c r="D42" s="30" t="str">
        <x:f>IFERROR(VLOOKUP(B42,Roadmap!$A$5:$I$39,4,FALSE),"MISSING ID")</x:f>
        <x:v>Browser checked</x:v>
      </x:c>
      <x:c r="E42" s="30" t="str">
        <x:v>Prerequisite must be satisfied at the relevant implementation / release / hardware gate.</x:v>
      </x:c>
    </x:row>
    <x:row r="43" ht="48" customHeight="1">
      <x:c r="A43" t="str">
        <x:v>B01</x:v>
      </x:c>
      <x:c r="B43" t="str">
        <x:v>A01</x:v>
      </x:c>
      <x:c r="C43" t="str">
        <x:f>IFERROR(VLOOKUP(A43,Roadmap!$A$5:$I$39,4,FALSE),"MISSING ID")</x:f>
        <x:v>Implemented</x:v>
      </x:c>
      <x:c r="D43" t="str">
        <x:f>IFERROR(VLOOKUP(B43,Roadmap!$A$5:$I$39,4,FALSE),"MISSING ID")</x:f>
        <x:v>Released</x:v>
      </x:c>
      <x:c r="E43" t="str">
        <x:v>Prerequisite must be satisfied at the relevant implementation / release / hardware gate.</x:v>
      </x:c>
    </x:row>
    <x:row r="44" ht="48" customHeight="1">
      <x:c r="A44" t="str">
        <x:v>B01</x:v>
      </x:c>
      <x:c r="B44" t="str">
        <x:v>I02</x:v>
      </x:c>
      <x:c r="C44" t="str">
        <x:f>IFERROR(VLOOKUP(A44,Roadmap!$A$5:$I$39,4,FALSE),"MISSING ID")</x:f>
        <x:v>Implemented</x:v>
      </x:c>
      <x:c r="D44" t="str">
        <x:f>IFERROR(VLOOKUP(B44,Roadmap!$A$5:$I$39,4,FALSE),"MISSING ID")</x:f>
        <x:v>Browser checked</x:v>
      </x:c>
      <x:c r="E44" t="str">
        <x:v>Prerequisite must be satisfied at the relevant implementation / release / hardware gate.</x:v>
      </x:c>
    </x:row>
    <x:row r="45" ht="48" customHeight="1">
      <x:c r="A45" t="str">
        <x:v>B02</x:v>
      </x:c>
      <x:c r="B45" t="str">
        <x:v>B01</x:v>
      </x:c>
      <x:c r="C45" t="str">
        <x:f>IFERROR(VLOOKUP(A45,Roadmap!$A$5:$I$39,4,FALSE),"MISSING ID")</x:f>
        <x:v>Implemented</x:v>
      </x:c>
      <x:c r="D45" t="str">
        <x:f>IFERROR(VLOOKUP(B45,Roadmap!$A$5:$I$39,4,FALSE),"MISSING ID")</x:f>
        <x:v>Implemented</x:v>
      </x:c>
      <x:c r="E45" t="str">
        <x:v>Prerequisite must be satisfied at the relevant implementation / release / hardware gate.</x:v>
      </x:c>
    </x:row>
    <x:row r="46" ht="48" customHeight="1">
      <x:c r="A46" t="str">
        <x:v>B03</x:v>
      </x:c>
      <x:c r="B46" t="str">
        <x:v>B02</x:v>
      </x:c>
      <x:c r="C46" t="str">
        <x:f>IFERROR(VLOOKUP(A46,Roadmap!$A$5:$I$39,4,FALSE),"MISSING ID")</x:f>
        <x:v>Implemented</x:v>
      </x:c>
      <x:c r="D46" t="str">
        <x:f>IFERROR(VLOOKUP(B46,Roadmap!$A$5:$I$39,4,FALSE),"MISSING ID")</x:f>
        <x:v>Implemented</x:v>
      </x:c>
      <x:c r="E46" t="str">
        <x:v>Prerequisite must be satisfied at the relevant implementation / release / hardware gate.</x:v>
      </x:c>
    </x:row>
    <x:row r="47" ht="48" customHeight="1">
      <x:c r="A47" t="str">
        <x:v>B04</x:v>
      </x:c>
      <x:c r="B47" t="str">
        <x:v>A01</x:v>
      </x:c>
      <x:c r="C47" t="str">
        <x:f>IFERROR(VLOOKUP(A47,Roadmap!$A$5:$I$39,4,FALSE),"MISSING ID")</x:f>
        <x:v>Implemented</x:v>
      </x:c>
      <x:c r="D47" t="str">
        <x:f>IFERROR(VLOOKUP(B47,Roadmap!$A$5:$I$39,4,FALSE),"MISSING ID")</x:f>
        <x:v>Released</x:v>
      </x:c>
      <x:c r="E47" t="str">
        <x:v>Prerequisite must be satisfied at the relevant implementation / release / hardware gate.</x:v>
      </x:c>
    </x:row>
    <x:row r="48" ht="48" customHeight="1">
      <x:c r="A48" t="str">
        <x:v>B04</x:v>
      </x:c>
      <x:c r="B48" t="str">
        <x:v>I02</x:v>
      </x:c>
      <x:c r="C48" t="str">
        <x:f>IFERROR(VLOOKUP(A48,Roadmap!$A$5:$I$39,4,FALSE),"MISSING ID")</x:f>
        <x:v>Implemented</x:v>
      </x:c>
      <x:c r="D48" t="str">
        <x:f>IFERROR(VLOOKUP(B48,Roadmap!$A$5:$I$39,4,FALSE),"MISSING ID")</x:f>
        <x:v>Browser checked</x:v>
      </x:c>
      <x:c r="E48" t="str">
        <x:v>Prerequisite must be satisfied at the relevant implementation / release / hardware gate.</x:v>
      </x:c>
    </x:row>
    <x:row r="49" ht="48" customHeight="1">
      <x:c r="A49" t="str">
        <x:v>B05</x:v>
      </x:c>
      <x:c r="B49" t="str">
        <x:v>A01</x:v>
      </x:c>
      <x:c r="C49" t="str">
        <x:f>IFERROR(VLOOKUP(A49,Roadmap!$A$5:$I$39,4,FALSE),"MISSING ID")</x:f>
        <x:v>Implemented</x:v>
      </x:c>
      <x:c r="D49" t="str">
        <x:f>IFERROR(VLOOKUP(B49,Roadmap!$A$5:$I$39,4,FALSE),"MISSING ID")</x:f>
        <x:v>Released</x:v>
      </x:c>
      <x:c r="E49" t="str">
        <x:v>Prerequisite must be satisfied at the relevant implementation / release / hardware gate.</x:v>
      </x:c>
    </x:row>
    <x:row r="50" ht="48" customHeight="1">
      <x:c r="A50" t="str">
        <x:v>B05</x:v>
      </x:c>
      <x:c r="B50" t="str">
        <x:v>B01</x:v>
      </x:c>
      <x:c r="C50" t="str">
        <x:f>IFERROR(VLOOKUP(A50,Roadmap!$A$5:$I$39,4,FALSE),"MISSING ID")</x:f>
        <x:v>Implemented</x:v>
      </x:c>
      <x:c r="D50" t="str">
        <x:f>IFERROR(VLOOKUP(B50,Roadmap!$A$5:$I$39,4,FALSE),"MISSING ID")</x:f>
        <x:v>Implemented</x:v>
      </x:c>
      <x:c r="E50" t="str">
        <x:v>Prerequisite must be satisfied at the relevant implementation / release / hardware gate.</x:v>
      </x:c>
    </x:row>
    <x:row r="51" ht="48" customHeight="1">
      <x:c r="A51" t="str">
        <x:v>B06</x:v>
      </x:c>
      <x:c r="B51" t="str">
        <x:v>B01</x:v>
      </x:c>
      <x:c r="C51" t="str">
        <x:f>IFERROR(VLOOKUP(A51,Roadmap!$A$5:$I$39,4,FALSE),"MISSING ID")</x:f>
        <x:v>Planned</x:v>
      </x:c>
      <x:c r="D51" t="str">
        <x:f>IFERROR(VLOOKUP(B51,Roadmap!$A$5:$I$39,4,FALSE),"MISSING ID")</x:f>
        <x:v>Implemented</x:v>
      </x:c>
      <x:c r="E51" t="str">
        <x:v>Prerequisite must be satisfied at the relevant implementation / release / hardware gate.</x:v>
      </x:c>
    </x:row>
    <x:row r="52" ht="48" customHeight="1">
      <x:c r="A52" t="str">
        <x:v>B06</x:v>
      </x:c>
      <x:c r="B52" t="str">
        <x:v>B02</x:v>
      </x:c>
      <x:c r="C52" t="str">
        <x:f>IFERROR(VLOOKUP(A52,Roadmap!$A$5:$I$39,4,FALSE),"MISSING ID")</x:f>
        <x:v>Planned</x:v>
      </x:c>
      <x:c r="D52" t="str">
        <x:f>IFERROR(VLOOKUP(B52,Roadmap!$A$5:$I$39,4,FALSE),"MISSING ID")</x:f>
        <x:v>Implemented</x:v>
      </x:c>
      <x:c r="E52" t="str">
        <x:v>Prerequisite must be satisfied at the relevant implementation / release / hardware gate.</x:v>
      </x:c>
    </x:row>
    <x:row r="53" ht="48" customHeight="1">
      <x:c r="A53" t="str">
        <x:v>B06</x:v>
      </x:c>
      <x:c r="B53" t="str">
        <x:v>B03</x:v>
      </x:c>
      <x:c r="C53" t="str">
        <x:f>IFERROR(VLOOKUP(A53,Roadmap!$A$5:$I$39,4,FALSE),"MISSING ID")</x:f>
        <x:v>Planned</x:v>
      </x:c>
      <x:c r="D53" t="str">
        <x:f>IFERROR(VLOOKUP(B53,Roadmap!$A$5:$I$39,4,FALSE),"MISSING ID")</x:f>
        <x:v>Implemented</x:v>
      </x:c>
      <x:c r="E53" t="str">
        <x:v>Prerequisite must be satisfied at the relevant implementation / release / hardware gate.</x:v>
      </x:c>
    </x:row>
    <x:row r="54" ht="48" customHeight="1">
      <x:c r="A54" t="str">
        <x:v>B06</x:v>
      </x:c>
      <x:c r="B54" t="str">
        <x:v>B04</x:v>
      </x:c>
      <x:c r="C54" t="str">
        <x:f>IFERROR(VLOOKUP(A54,Roadmap!$A$5:$I$39,4,FALSE),"MISSING ID")</x:f>
        <x:v>Planned</x:v>
      </x:c>
      <x:c r="D54" t="str">
        <x:f>IFERROR(VLOOKUP(B54,Roadmap!$A$5:$I$39,4,FALSE),"MISSING ID")</x:f>
        <x:v>Implemented</x:v>
      </x:c>
      <x:c r="E54" t="str">
        <x:v>Prerequisite must be satisfied at the relevant implementation / release / hardware gate.</x:v>
      </x:c>
    </x:row>
    <x:row r="55" ht="48" customHeight="1">
      <x:c r="A55" t="str">
        <x:v>B06</x:v>
      </x:c>
      <x:c r="B55" t="str">
        <x:v>B05</x:v>
      </x:c>
      <x:c r="C55" t="str">
        <x:f>IFERROR(VLOOKUP(A55,Roadmap!$A$5:$I$39,4,FALSE),"MISSING ID")</x:f>
        <x:v>Planned</x:v>
      </x:c>
      <x:c r="D55" t="str">
        <x:f>IFERROR(VLOOKUP(B55,Roadmap!$A$5:$I$39,4,FALSE),"MISSING ID")</x:f>
        <x:v>Implemented</x:v>
      </x:c>
      <x:c r="E55" t="str">
        <x:v>Prerequisite must be satisfied at the relevant implementation / release / hardware gate.</x:v>
      </x:c>
    </x:row>
    <x:row r="56" ht="48" customHeight="1">
      <x:c r="A56" t="str">
        <x:v>N02</x:v>
      </x:c>
      <x:c r="B56" t="str">
        <x:v>N01</x:v>
      </x:c>
      <x:c r="C56" t="str">
        <x:f>IFERROR(VLOOKUP(A56,Roadmap!$A$5:$I$39,4,FALSE),"MISSING ID")</x:f>
        <x:v>Planned</x:v>
      </x:c>
      <x:c r="D56" t="str">
        <x:f>IFERROR(VLOOKUP(B56,Roadmap!$A$5:$I$39,4,FALSE),"MISSING ID")</x:f>
        <x:v>Planned</x:v>
      </x:c>
      <x:c r="E56" t="str">
        <x:v>Prerequisite must be satisfied at the relevant implementation / release / hardware gate.</x:v>
      </x:c>
    </x:row>
    <x:row r="57" ht="48" customHeight="1">
      <x:c r="A57" t="str">
        <x:v>N03</x:v>
      </x:c>
      <x:c r="B57" t="str">
        <x:v>N02</x:v>
      </x:c>
      <x:c r="C57" t="str">
        <x:f>IFERROR(VLOOKUP(A57,Roadmap!$A$5:$I$39,4,FALSE),"MISSING ID")</x:f>
        <x:v>Planned</x:v>
      </x:c>
      <x:c r="D57" t="str">
        <x:f>IFERROR(VLOOKUP(B57,Roadmap!$A$5:$I$39,4,FALSE),"MISSING ID")</x:f>
        <x:v>Planned</x:v>
      </x:c>
      <x:c r="E57" t="str">
        <x:v>Prerequisite must be satisfied at the relevant implementation / release / hardware gate.</x:v>
      </x:c>
    </x:row>
    <x:row r="58" ht="48" customHeight="1">
      <x:c r="A58" t="str">
        <x:v>N03</x:v>
      </x:c>
      <x:c r="B58" t="str">
        <x:v>B02</x:v>
      </x:c>
      <x:c r="C58" t="str">
        <x:f>IFERROR(VLOOKUP(A58,Roadmap!$A$5:$I$39,4,FALSE),"MISSING ID")</x:f>
        <x:v>Planned</x:v>
      </x:c>
      <x:c r="D58" t="str">
        <x:f>IFERROR(VLOOKUP(B58,Roadmap!$A$5:$I$39,4,FALSE),"MISSING ID")</x:f>
        <x:v>Implemented</x:v>
      </x:c>
      <x:c r="E58" t="str">
        <x:v>Prerequisite must be satisfied at the relevant implementation / release / hardware gate.</x:v>
      </x:c>
    </x:row>
    <x:row r="59" ht="48" customHeight="1">
      <x:c r="A59" t="str">
        <x:v>N03</x:v>
      </x:c>
      <x:c r="B59" t="str">
        <x:v>B03</x:v>
      </x:c>
      <x:c r="C59" t="str">
        <x:f>IFERROR(VLOOKUP(A59,Roadmap!$A$5:$I$39,4,FALSE),"MISSING ID")</x:f>
        <x:v>Planned</x:v>
      </x:c>
      <x:c r="D59" t="str">
        <x:f>IFERROR(VLOOKUP(B59,Roadmap!$A$5:$I$39,4,FALSE),"MISSING ID")</x:f>
        <x:v>Implemented</x:v>
      </x:c>
      <x:c r="E59" t="str">
        <x:v>Prerequisite must be satisfied at the relevant implementation / release / hardware gate.</x:v>
      </x:c>
    </x:row>
    <x:row r="60" ht="48" customHeight="1">
      <x:c r="A60" t="str">
        <x:v>X07</x:v>
      </x:c>
      <x:c r="B60" t="str">
        <x:v>X04</x:v>
      </x:c>
      <x:c r="C60" t="str">
        <x:f>IFERROR(VLOOKUP(A60,Roadmap!$A$5:$I$39,4,FALSE),"MISSING ID")</x:f>
        <x:v>Planned</x:v>
      </x:c>
      <x:c r="D60" t="str">
        <x:f>IFERROR(VLOOKUP(B60,Roadmap!$A$5:$I$39,4,FALSE),"MISSING ID")</x:f>
        <x:v>Hardware QA</x:v>
      </x:c>
      <x:c r="E60" t="str">
        <x:v>Prerequisite must be satisfied at the relevant implementation / release / hardware gate.</x:v>
      </x:c>
    </x:row>
    <x:row r="61" ht="48" customHeight="1">
      <x:c r="A61" t="str">
        <x:v>X07</x:v>
      </x:c>
      <x:c r="B61" t="str">
        <x:v>X05</x:v>
      </x:c>
      <x:c r="C61" t="str">
        <x:f>IFERROR(VLOOKUP(A61,Roadmap!$A$5:$I$39,4,FALSE),"MISSING ID")</x:f>
        <x:v>Planned</x:v>
      </x:c>
      <x:c r="D61" t="str">
        <x:f>IFERROR(VLOOKUP(B61,Roadmap!$A$5:$I$39,4,FALSE),"MISSING ID")</x:f>
        <x:v>Hardware QA</x:v>
      </x:c>
      <x:c r="E61" t="str">
        <x:v>Prerequisite must be satisfied at the relevant implementation / release / hardware gate.</x:v>
      </x:c>
    </x:row>
    <x:row r="62" ht="48" customHeight="1">
      <x:c r="A62" t="str">
        <x:v>X07</x:v>
      </x:c>
      <x:c r="B62" t="str">
        <x:v>B01</x:v>
      </x:c>
      <x:c r="C62" t="str">
        <x:f>IFERROR(VLOOKUP(A62,Roadmap!$A$5:$I$39,4,FALSE),"MISSING ID")</x:f>
        <x:v>Planned</x:v>
      </x:c>
      <x:c r="D62" t="str">
        <x:f>IFERROR(VLOOKUP(B62,Roadmap!$A$5:$I$39,4,FALSE),"MISSING ID")</x:f>
        <x:v>Implemented</x:v>
      </x:c>
      <x:c r="E62" t="str">
        <x:v>Prerequisite must be satisfied at the relevant implementation / release / hardware gate.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4ecf82e9ec747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38" hidden="0" customWidth="1"/>
    <x:col min="4" max="4" width="40" hidden="0" customWidth="1"/>
  </x:cols>
  <x:sheetData>
    <x:row r="1" ht="36" customHeight="1">
      <x:c r="A1" s="22" t="str">
        <x:v>CONTROLS</x:v>
      </x:c>
      <x:c r="B1" s="22"/>
      <x:c r="C1" s="22"/>
      <x:c r="D1" s="22"/>
    </x:row>
    <x:row r="2" ht="28" customHeight="1">
      <x:c r="A2" s="25" t="str">
        <x:v>Aether Reach • Public engine development • Updated 2026-09-06 • Physical device gates are not inferred from emulation.</x:v>
      </x:c>
      <x:c r="B2" s="25"/>
      <x:c r="C2" s="25"/>
      <x:c r="D2" s="25"/>
    </x:row>
    <x:row r="4" ht="30" customHeight="1">
      <x:c r="A4" s="35" t="str">
        <x:v>Action</x:v>
      </x:c>
      <x:c r="B4" s="35" t="str">
        <x:v>Xbox / standard controller</x:v>
      </x:c>
      <x:c r="C4" s="35" t="str">
        <x:v>Quest XR preview</x:v>
      </x:c>
      <x:c r="D4" s="35" t="str">
        <x:v>Scope</x:v>
      </x:c>
    </x:row>
    <x:row r="5" ht="56" customHeight="1">
      <x:c r="A5" s="30" t="str">
        <x:v>Move</x:v>
      </x:c>
      <x:c r="B5" s="30" t="str">
        <x:v>Left stick; radial deadzone</x:v>
      </x:c>
      <x:c r="C5" s="30" t="str">
        <x:v>Left thumbstick; head-relative movement</x:v>
      </x:c>
      <x:c r="D5" s="30" t="str">
        <x:v>Physical pairing and tracking require device tests.</x:v>
      </x:c>
    </x:row>
    <x:row r="6" ht="56" customHeight="1">
      <x:c r="A6" s="30" t="str">
        <x:v>Look / turn</x:v>
      </x:c>
      <x:c r="B6" s="30" t="str">
        <x:v>Right stick; speed and inversion settings</x:v>
      </x:c>
      <x:c r="C6" s="30" t="str">
        <x:v>Tracked head + right-stick 30-degree snap turn</x:v>
      </x:c>
      <x:c r="D6" s="30" t="str">
        <x:v>Rail camera cannot overwrite the headset orientation.</x:v>
      </x:c>
    </x:row>
    <x:row r="7" ht="56" customHeight="1">
      <x:c r="A7" s="30" t="str">
        <x:v>Jump / release</x:v>
      </x:c>
      <x:c r="B7" s="30" t="str">
        <x:v>A</x:v>
      </x:c>
      <x:c r="C7" s="30" t="str">
        <x:v>Right A</x:v>
      </x:c>
      <x:c r="D7" s="30" t="str">
        <x:v>Existing model preserves rail release momentum.</x:v>
      </x:c>
    </x:row>
    <x:row r="8" ht="56" customHeight="1">
      <x:c r="A8" s="30" t="str">
        <x:v>Interact / rail attach</x:v>
      </x:c>
      <x:c r="B8" s="30" t="str">
        <x:v>Y</x:v>
      </x:c>
      <x:c r="C8" s="30" t="str">
        <x:v>Right grip / squeeze</x:v>
      </x:c>
      <x:c r="D8" s="30" t="str">
        <x:v>Nearby interaction uses the same world objects.</x:v>
      </x:c>
    </x:row>
    <x:row r="9" ht="56" customHeight="1">
      <x:c r="A9" s="30" t="str">
        <x:v>Fire</x:v>
      </x:c>
      <x:c r="B9" s="30" t="str">
        <x:v>Right trigger</x:v>
      </x:c>
      <x:c r="C9" s="30" t="str">
        <x:v>Right trigger; tracked right ray</x:v>
      </x:c>
      <x:c r="D9" s="30" t="str">
        <x:v>Controller-origin ray must be near the avatar and line-of-sight valid.</x:v>
      </x:c>
    </x:row>
    <x:row r="10" ht="56" customHeight="1">
      <x:c r="A10" s="30" t="str">
        <x:v>Reload</x:v>
      </x:c>
      <x:c r="B10" s="30" t="str">
        <x:v>X</x:v>
      </x:c>
      <x:c r="C10" s="30" t="str">
        <x:v>Right B</x:v>
      </x:c>
      <x:c r="D10" s="30" t="str">
        <x:v>Button reload now; embodied reload later.</x:v>
      </x:c>
    </x:row>
    <x:row r="11" ht="56" customHeight="1">
      <x:c r="A11" s="30" t="str">
        <x:v>Pulse</x:v>
      </x:c>
      <x:c r="B11" s="30" t="str">
        <x:v>Left bumper</x:v>
      </x:c>
      <x:c r="C11" s="30" t="str">
        <x:v>Left trigger</x:v>
      </x:c>
      <x:c r="D11" s="30" t="str">
        <x:v>Consumes the existing energy resource.</x:v>
      </x:c>
    </x:row>
    <x:row r="12" ht="56" customHeight="1">
      <x:c r="A12" s="30" t="str">
        <x:v>Reverse rail</x:v>
      </x:c>
      <x:c r="B12" s="30" t="str">
        <x:v>Right bumper</x:v>
      </x:c>
      <x:c r="C12" s="30" t="str">
        <x:v>Left grip</x:v>
      </x:c>
      <x:c r="D12" s="30" t="str">
        <x:v>Changes travel direction, not world position.</x:v>
      </x:c>
    </x:row>
    <x:row r="13" ht="56" customHeight="1">
      <x:c r="A13" s="30" t="str">
        <x:v>Boost</x:v>
      </x:c>
      <x:c r="B13" s="30" t="str">
        <x:v>Left-stick click</x:v>
      </x:c>
      <x:c r="C13" s="30" t="str">
        <x:v>Left-stick click</x:v>
      </x:c>
      <x:c r="D13" s="30" t="str">
        <x:v>Held action.</x:v>
      </x:c>
    </x:row>
    <x:row r="14" ht="56" customHeight="1">
      <x:c r="A14" s="30" t="str">
        <x:v>Atlas</x:v>
      </x:c>
      <x:c r="B14" s="30" t="str">
        <x:v>View button</x:v>
      </x:c>
      <x:c r="C14" s="30" t="str">
        <x:v>Left X</x:v>
      </x:c>
      <x:c r="D14" s="30" t="str">
        <x:v>Pauses simulation; spatial atlas in XR.</x:v>
      </x:c>
    </x:row>
    <x:row r="15" ht="56" customHeight="1">
      <x:c r="A15" s="30" t="str">
        <x:v>Pause</x:v>
      </x:c>
      <x:c r="B15" s="30" t="str">
        <x:v>Menu button</x:v>
      </x:c>
      <x:c r="C15" s="30" t="str">
        <x:v>Left Y</x:v>
      </x:c>
      <x:c r="D15" s="30" t="str">
        <x:v>In XR, a spatial panel replaces reliance on the flat menu.</x:v>
      </x:c>
    </x:row>
    <x:row r="16" ht="56" customHeight="1">
      <x:c r="A16" s="30" t="str">
        <x:v>Menu navigation</x:v>
      </x:c>
      <x:c r="B16" s="30" t="str">
        <x:v>D-pad / left stick; A confirms, B returns</x:v>
      </x:c>
      <x:c r="C16" s="30" t="str">
        <x:v>Left stick or ray; right trigger confirms; B back</x:v>
      </x:c>
      <x:c r="D16" s="30" t="str">
        <x:v>Held buttons are reset across menu transitions.</x:v>
      </x:c>
    </x:row>
    <x:row r="17" ht="56" customHeight="1">
      <x:c r="A17" s="30" t="str">
        <x:v>Exit VR</x:v>
      </x:c>
      <x:c r="B17" s="30" t="str">
        <x:v>Not applicable</x:v>
      </x:c>
      <x:c r="C17" s="30" t="str">
        <x:v>Spatial Exit VR or headset system controls</x:v>
      </x:c>
      <x:c r="D17" s="30" t="str">
        <x:v>Restores paused desktop view.</x:v>
      </x:c>
    </x:row>
    <x:row r="18" ht="64" customHeight="1">
      <x:c r="A18" s="39" t="str">
        <x:v>Aim / optic</x:v>
      </x:c>
      <x:c r="B18" s="39" t="str">
        <x:v>LT hold</x:v>
      </x:c>
      <x:c r="C18" s="39" t="str">
        <x:v>Right-stick click: precision input; no magnified XR lens</x:v>
      </x:c>
      <x:c r="D18" s="39" t="str">
        <x:v>Keyboard Z toggles / right mouse holds. The 4× rendered optic is flat-screen only.</x:v>
      </x:c>
    </x:row>
    <x:row r="19" ht="64" customHeight="1">
      <x:c r="A19" s="39" t="str">
        <x:v>Select weapon</x:v>
      </x:c>
      <x:c r="B19" s="39" t="str">
        <x:v>D-pad up/down cycles owned gear</x:v>
      </x:c>
      <x:c r="C19" s="39" t="str">
        <x:v>No dedicated tracked cycle binding in this pass</x:v>
      </x:c>
      <x:c r="D19" s="39" t="str">
        <x:v>Keyboard 1–4. Tracked weapon-specific presentation and inventory remain open.</x:v>
      </x:c>
    </x:row>
    <x:row r="20" ht="64" customHeight="1">
      <x:c r="A20" s="39" t="str">
        <x:v>Outfitters / upgrades</x:v>
      </x:c>
      <x:c r="B20" s="39" t="str">
        <x:v>D-pad right near a kiosk</x:v>
      </x:c>
      <x:c r="C20" s="39" t="str">
        <x:v>No dedicated tracked buy binding in this pass</x:v>
      </x:c>
      <x:c r="D20" s="39" t="str">
        <x:v>Keyboard B near a kiosk. Full headset shop ergonomics are not certified.</x:v>
      </x:c>
    </x:row>
    <x:row r="21" ht="64" customHeight="1">
      <x:c r="A21" s="39" t="str">
        <x:v>Rail transfers</x:v>
      </x:c>
      <x:c r="B21" s="39" t="str">
        <x:v>A release; right stick aim; Y catch</x:v>
      </x:c>
      <x:c r="C21" s="39" t="str">
        <x:v>A release; independent head look; right grip catches</x:v>
      </x:c>
      <x:c r="D21" s="39" t="str">
        <x:v>Keyboard Space → aim → E. The catch still needs nearby visible eligible geometry.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d54ac0ce21e42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40" hidden="0" customWidth="1"/>
    <x:col min="4" max="4" width="20" hidden="0" customWidth="1"/>
    <x:col min="5" max="5" width="40" hidden="0" customWidth="1"/>
  </x:cols>
  <x:sheetData>
    <x:row r="1" ht="36" customHeight="1">
      <x:c r="A1" s="22" t="str">
        <x:v>PHYSICAL QA</x:v>
      </x:c>
      <x:c r="B1" s="22"/>
      <x:c r="C1" s="22"/>
      <x:c r="D1" s="22"/>
      <x:c r="E1" s="22"/>
    </x:row>
    <x:row r="2" ht="28" customHeight="1">
      <x:c r="A2" s="25" t="str">
        <x:v>Aether Reach • Public engine development • Updated 2026-09-06 • Physical device gates are not inferred from emulation.</x:v>
      </x:c>
      <x:c r="B2" s="25"/>
      <x:c r="C2" s="25"/>
      <x:c r="D2" s="25"/>
      <x:c r="E2" s="25"/>
    </x:row>
    <x:row r="4" ht="30" customHeight="1">
      <x:c r="A4" s="35" t="str">
        <x:v>Gate</x:v>
      </x:c>
      <x:c r="B4" s="35" t="str">
        <x:v>Device / setup</x:v>
      </x:c>
      <x:c r="C4" s="35" t="str">
        <x:v>Required checks</x:v>
      </x:c>
      <x:c r="D4" s="35" t="str">
        <x:v>Result</x:v>
      </x:c>
      <x:c r="E4" s="35" t="str">
        <x:v>Evidence to record</x:v>
      </x:c>
    </x:row>
    <x:row r="5" ht="78" customHeight="1">
      <x:c r="A5" s="30" t="str">
        <x:v>I03</x:v>
      </x:c>
      <x:c r="B5" s="30" t="str">
        <x:v>Xbox controller, USB, Windows browser</x:v>
      </x:c>
      <x:c r="C5" s="30" t="str">
        <x:v>Start/menu, analog movement, stick drift, hook/reverse/release, fire/reload/pulse, disconnect/reconnect</x:v>
      </x:c>
      <x:c r="D5" s="30" t="str">
        <x:v>Not performed</x:v>
      </x:c>
      <x:c r="E5" s="30" t="str">
        <x:v>Device model; browser/OS; input recording; failures and expected/actual result.</x:v>
      </x:c>
    </x:row>
    <x:row r="6" ht="78" customHeight="1">
      <x:c r="A6" s="30" t="str">
        <x:v>I03</x:v>
      </x:c>
      <x:c r="B6" s="30" t="str">
        <x:v>Xbox controller, Bluetooth</x:v>
      </x:c>
      <x:c r="C6" s="30" t="str">
        <x:v>Repeat controls after pairing, reconnect while held, focus loss, long play</x:v>
      </x:c>
      <x:c r="D6" s="30" t="str">
        <x:v>Not performed</x:v>
      </x:c>
      <x:c r="E6" s="30" t="str">
        <x:v>Connection type; observed mapping; no hardware-support claim from virtual pad tests.</x:v>
      </x:c>
    </x:row>
    <x:row r="7" ht="78" customHeight="1">
      <x:c r="A7" s="30" t="str">
        <x:v>X04</x:v>
      </x:c>
      <x:c r="B7" s="30" t="str">
        <x:v>Quest 3, Meta Quest Browser</x:v>
      </x:c>
      <x:c r="C7" s="30" t="str">
        <x:v>Enter/exit VR; stereoscopic view; floor; both controllers; aim alignment; snap turn; menus; rails</x:v>
      </x:c>
      <x:c r="D7" s="30" t="str">
        <x:v>Not performed</x:v>
      </x:c>
      <x:c r="E7" s="30" t="str">
        <x:v>Headset/browser version, observed tracking, hand dominance and repro steps.</x:v>
      </x:c>
    </x:row>
    <x:row r="8" ht="78" customHeight="1">
      <x:c r="A8" s="30" t="str">
        <x:v>X04</x:v>
      </x:c>
      <x:c r="B8" s="30" t="str">
        <x:v>Quest 3 session recovery</x:v>
      </x:c>
      <x:c r="C8" s="30" t="str">
        <x:v>Pause, visibility loss, headset removal, re-entry, denied/ended sessions, recenter</x:v>
      </x:c>
      <x:c r="D8" s="30" t="str">
        <x:v>Not performed</x:v>
      </x:c>
      <x:c r="E8" s="30" t="str">
        <x:v>Behavior before/after each interruption; no unwanted movement.</x:v>
      </x:c>
    </x:row>
    <x:row r="9" ht="78" customHeight="1">
      <x:c r="A9" s="30" t="str">
        <x:v>X05</x:v>
      </x:c>
      <x:c r="B9" s="30" t="str">
        <x:v>Quest 3 sustained performance</x:v>
      </x:c>
      <x:c r="C9" s="30" t="str">
        <x:v>Frame timing, CPU/GPU workload, memory, scene density, 15-minute session</x:v>
      </x:c>
      <x:c r="D9" s="30" t="str">
        <x:v>Not measured</x:v>
      </x:c>
      <x:c r="E9" s="30" t="str">
        <x:v>Profiler capture and render settings. Select a refresh budget after measurement.</x:v>
      </x:c>
    </x:row>
    <x:row r="10" ht="78" customHeight="1">
      <x:c r="A10" s="30" t="str">
        <x:v>X06</x:v>
      </x:c>
      <x:c r="B10" s="30" t="str">
        <x:v>Comfort and calibration</x:v>
      </x:c>
      <x:c r="C10" s="30" t="str">
        <x:v>Seated/standing, controller height, smooth/snap options, release speed, HUD distance</x:v>
      </x:c>
      <x:c r="D10" s="30" t="str">
        <x:v>Open design work</x:v>
      </x:c>
      <x:c r="E10" s="30" t="str">
        <x:v>Feedback is subjective; a passed code test cannot certify comfort.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ac01c1f34754d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7" hidden="0" customWidth="1"/>
    <x:col min="3" max="3" width="55" hidden="0" customWidth="1"/>
    <x:col min="4" max="4" width="40" hidden="0" customWidth="1"/>
  </x:cols>
  <x:sheetData>
    <x:row r="1" ht="36" customHeight="1">
      <x:c r="A1" s="22" t="str">
        <x:v>SOURCES</x:v>
      </x:c>
      <x:c r="B1" s="22"/>
      <x:c r="C1" s="22"/>
      <x:c r="D1" s="22"/>
    </x:row>
    <x:row r="2" ht="28" customHeight="1">
      <x:c r="A2" s="25" t="str">
        <x:v>Aether Reach • Public engine development • Updated 2026-09-06 • Physical device gates are not inferred from emulation.</x:v>
      </x:c>
      <x:c r="B2" s="25"/>
      <x:c r="C2" s="25"/>
      <x:c r="D2" s="25"/>
    </x:row>
    <x:row r="4" ht="30" customHeight="1">
      <x:c r="A4" s="35" t="str">
        <x:v>Source</x:v>
      </x:c>
      <x:c r="B4" s="35" t="str">
        <x:v>Use</x:v>
      </x:c>
      <x:c r="C4" s="35" t="str">
        <x:v>URL</x:v>
      </x:c>
      <x:c r="D4" s="35" t="str">
        <x:v>Qualification</x:v>
      </x:c>
    </x:row>
    <x:row r="5" ht="62" customHeight="1">
      <x:c r="A5" s="30" t="str">
        <x:v>GitHub public project</x:v>
      </x:c>
      <x:c r="B5" s="30" t="str">
        <x:v>Canonical source and feature branches</x:v>
      </x:c>
      <x:c r="C5" s="30" t="str">
        <x:v>https://github.com/v5ma/v5ma.github.io/tree/master/aether-reach</x:v>
      </x:c>
      <x:c r="D5" s="30" t="str">
        <x:v>Private authoring content is excluded.</x:v>
      </x:c>
    </x:row>
    <x:row r="6" ht="62" customHeight="1">
      <x:c r="A6" s="30" t="str">
        <x:v>Roadmap JSON</x:v>
      </x:c>
      <x:c r="B6" s="30" t="str">
        <x:v>Machine-readable public task plan</x:v>
      </x:c>
      <x:c r="C6" s="30" t="str">
        <x:v>https://v5ma.github.io/aether-reach/roadmap.json</x:v>
      </x:c>
      <x:c r="D6" s="30" t="str">
        <x:v>Board edits are local, exported separately; this workbook is a versioned snapshot.</x:v>
      </x:c>
    </x:row>
    <x:row r="7" ht="62" customHeight="1">
      <x:c r="A7" s="30" t="str">
        <x:v>MDN Gamepad mapping</x:v>
      </x:c>
      <x:c r="B7" s="30" t="str">
        <x:v>Standard controller capability detection</x:v>
      </x:c>
      <x:c r="C7" s="30" t="str">
        <x:v>https://developer.mozilla.org/en-US/docs/Web/API/Gamepad/mapping</x:v>
      </x:c>
      <x:c r="D7" s="30" t="str">
        <x:v>Do not guess vendor layouts for unmapped controllers.</x:v>
      </x:c>
    </x:row>
    <x:row r="8" ht="62" customHeight="1">
      <x:c r="A8" s="30" t="str">
        <x:v>MDN XR input source</x:v>
      </x:c>
      <x:c r="B8" s="30" t="str">
        <x:v>Handed tracked-controller gamepad interface</x:v>
      </x:c>
      <x:c r="C8" s="30" t="str">
        <x:v>https://developer.mozilla.org/en-US/docs/Web/API/XRInputSource/gamepad</x:v>
      </x:c>
      <x:c r="D8" s="30" t="str">
        <x:v>XR controller data belongs to the XR session, not navigator.getGamepads().</x:v>
      </x:c>
    </x:row>
    <x:row r="9" ht="62" customHeight="1">
      <x:c r="A9" s="30" t="str">
        <x:v>Three.js manual</x:v>
      </x:c>
      <x:c r="B9" s="30" t="str">
        <x:v>XR render loop and tracking integration</x:v>
      </x:c>
      <x:c r="C9" s="30" t="str">
        <x:v>https://threejs.org/manual/en/webxr-basics.html</x:v>
      </x:c>
      <x:c r="D9" s="30" t="str">
        <x:v>Uses the repository's pinned renderer; no automatic dependency upgrade.</x:v>
      </x:c>
    </x:row>
    <x:row r="10" ht="62" customHeight="1">
      <x:c r="A10" s="30" t="str">
        <x:v>Meta Quest Browser docs</x:v>
      </x:c>
      <x:c r="B10" s="30" t="str">
        <x:v>Feature detection and hardware verification</x:v>
      </x:c>
      <x:c r="C10" s="30" t="str">
        <x:v>https://developers.meta.com/horizon/documentation/web/browser-specs/</x:v>
      </x:c>
      <x:c r="D10" s="30" t="str">
        <x:v>Runtime feature detection; physical Quest test still required.</x:v>
      </x:c>
    </x:row>
    <x:row r="11" ht="76" customHeight="1">
      <x:c r="A11" s="39" t="str">
        <x:v>Irrational Games</x:v>
      </x:c>
      <x:c r="B11" s="39" t="str">
        <x:v>Sky-Lines developer explanation</x:v>
      </x:c>
      <x:c r="C11" s="39" t="str">
        <x:v>https://irrationalgames.ghoststorygames.com/insider/ken-levine-explains-sky-lines/</x:v>
      </x:c>
      <x:c r="D11" s="39" t="str">
        <x:v>Movement and combat as a connected rail network; linked video not fully playable in review.</x:v>
      </x:c>
    </x:row>
    <x:row r="12" ht="76" customHeight="1">
      <x:c r="A12" s="39" t="str">
        <x:v>Valve / HLTV</x:v>
      </x:c>
      <x:c r="B12" s="39" t="str">
        <x:v>June 2023 loadout and buy decisions</x:v>
      </x:c>
      <x:c r="C12" s="39" t="str">
        <x:v>https://www.hltv.org/news/36438/counter-strike-2-update-swaps-dust2-for-mirage-introduces-interchangeable-weapon-loadouts-selling-during-buytime</x:v>
      </x:c>
      <x:c r="D12" s="39" t="str">
        <x:v>Historical first-hand report; not a current balance claim.</x:v>
      </x:c>
    </x:row>
    <x:row r="13" ht="76" customHeight="1">
      <x:c r="A13" s="39" t="str">
        <x:v>Epic Games</x:v>
      </x:c>
      <x:c r="B13" s="39" t="str">
        <x:v>Chapter 5 Season 1 weapons and modification</x:v>
      </x:c>
      <x:c r="C13" s="39" t="str">
        <x:v>https://www.fortnite.com/news/join-the-fight-in-fortnite-battle-royale-chapter-5-season-1-underground</x:v>
      </x:c>
      <x:c r="D13" s="39" t="str">
        <x:v>Historical design reference; official weapon and environment screenshots examined.</x:v>
      </x:c>
    </x:row>
    <x:row r="14" ht="76" customHeight="1">
      <x:c r="A14" s="39" t="str">
        <x:v>BigBox VR</x:v>
      </x:c>
      <x:c r="B14" s="39" t="str">
        <x:v>Population: ONE feature overview</x:v>
      </x:c>
      <x:c r="C14" s="39" t="str">
        <x:v>https://www.populationonevr.com/</x:v>
      </x:c>
      <x:c r="D14" s="39" t="str">
        <x:v>Vertical traversal and squad play; no claim that this prototype already has either full system.</x:v>
      </x:c>
    </x:row>
    <x:row r="15" ht="76" customHeight="1">
      <x:c r="A15" s="39" t="str">
        <x:v>Gamer Guides</x:v>
      </x:c>
      <x:c r="B15" s="39" t="str">
        <x:v>BioShock Infinite Soldiers Field</x:v>
      </x:c>
      <x:c r="C15" s="39" t="str">
        <x:v>https://www.gamerguides.com/bioshock-infinite/guide/walkthrough/act-3-the-hall-of-heroes/chapter-07-soldiers-field/soldiers-field-welcome-centre</x:v>
      </x:c>
      <x:c r="D15" s="39" t="str">
        <x:v>First-hand upgrade walkthrough; mechanics inspiration, not copied content.</x:v>
      </x:c>
    </x:row>
    <x:row r="16" ht="76" customHeight="1">
      <x:c r="A16" s="39" t="str">
        <x:v>Aether Reach</x:v>
      </x:c>
      <x:c r="B16" s="39" t="str">
        <x:v>Candidate implementation and verification</x:v>
      </x:c>
      <x:c r="C16" s="39" t="str">
        <x:v>https://github.com/v5ma/v5ma.github.io/pull/39</x:v>
      </x:c>
      <x:c r="D16" s="39" t="str">
        <x:v>Exact source and final native/publication receipts are recorded in the pull request.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5fc53b951cd4f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20" hidden="0" customWidth="1"/>
    <x:col min="4" max="4" width="10" hidden="0" customWidth="1"/>
    <x:col min="5" max="5" width="13" hidden="0" customWidth="1"/>
    <x:col min="6" max="6" width="20" hidden="0" customWidth="1"/>
    <x:col min="7" max="7" width="15" hidden="0" customWidth="1"/>
    <x:col min="8" max="8" width="15" hidden="0" customWidth="1"/>
    <x:col min="9" max="9" width="17" hidden="0" customWidth="1"/>
    <x:col min="10" max="10" width="13" hidden="0" customWidth="1"/>
    <x:col min="11" max="11" width="17" hidden="0" customWidth="1"/>
    <x:col min="12" max="12" width="13" hidden="0" customWidth="1"/>
    <x:col min="13" max="13" width="20" hidden="0" customWidth="1"/>
  </x:cols>
  <x:sheetData>
    <x:row r="1" ht="32" customHeight="1">
      <x:c r="A1" s="48" t="str">
        <x:v>WEAPON BALANCE / V0.3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</x:row>
    <x:row r="2" ht="28" customHeight="1">
      <x:c r="A2" s="52" t="str">
        <x:v>Game design values, not real-world specifications. Flat-screen optic; tier calculations exclude range falloff and critical hits.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</x:row>
    <x:row r="4" ht="32" customHeight="1">
      <x:c r="A4" s="50" t="str">
        <x:v>Weapon</x:v>
      </x:c>
      <x:c r="B4" s="50" t="str">
        <x:v>Cost: game credits</x:v>
      </x:c>
      <x:c r="C4" s="50" t="str">
        <x:v>Base damage / pellet</x:v>
      </x:c>
      <x:c r="D4" s="50" t="str">
        <x:v>Pellets</x:v>
      </x:c>
      <x:c r="E4" s="50" t="str">
        <x:v>Magazine</x:v>
      </x:c>
      <x:c r="F4" s="50" t="str">
        <x:v>Shot interval (s)</x:v>
      </x:c>
      <x:c r="G4" s="50" t="str">
        <x:v>Reload (s)</x:v>
      </x:c>
      <x:c r="H4" s="50" t="str">
        <x:v>Range (m)</x:v>
      </x:c>
      <x:c r="I4" s="50" t="str">
        <x:v>Optical factor</x:v>
      </x:c>
      <x:c r="J4" s="50" t="str">
        <x:v>Damage tier</x:v>
      </x:c>
      <x:c r="K4" s="50" t="str">
        <x:v>Tuned damage</x:v>
      </x:c>
      <x:c r="L4" s="50" t="str">
        <x:v>Reload tier</x:v>
      </x:c>
      <x:c r="M4" s="50" t="str">
        <x:v>Tuned reload (s)</x:v>
      </x:c>
    </x:row>
    <x:row r="5" ht="30" customHeight="1">
      <x:c r="A5" s="30" t="str">
        <x:v>Arc Caster</x:v>
      </x:c>
      <x:c r="B5" s="30" t="n">
        <x:v>0</x:v>
      </x:c>
      <x:c r="C5" s="30" t="n">
        <x:v>34</x:v>
      </x:c>
      <x:c r="D5" s="30" t="n">
        <x:v>1</x:v>
      </x:c>
      <x:c r="E5" s="30" t="n">
        <x:v>8</x:v>
      </x:c>
      <x:c r="F5" s="54" t="n">
        <x:v>0.23</x:v>
      </x:c>
      <x:c r="G5" s="54" t="n">
        <x:v>1.05</x:v>
      </x:c>
      <x:c r="H5" s="30" t="n">
        <x:v>85</x:v>
      </x:c>
      <x:c r="I5" s="55" t="n">
        <x:v>1.6</x:v>
      </x:c>
      <x:c r="J5" s="30" t="n">
        <x:v>0</x:v>
      </x:c>
      <x:c r="K5" s="30" t="n">
        <x:f>ROUND(C5*(1+J5*$B$12),0)</x:f>
        <x:v>34</x:v>
      </x:c>
      <x:c r="L5" s="30" t="n">
        <x:v>0</x:v>
      </x:c>
      <x:c r="M5" s="54" t="n">
        <x:f>G5*(1-L5*$B$13)</x:f>
        <x:v>1.05</x:v>
      </x:c>
    </x:row>
    <x:row r="6" ht="30" customHeight="1">
      <x:c r="A6" s="30" t="str">
        <x:v>Tempest Carbine</x:v>
      </x:c>
      <x:c r="B6" s="30" t="n">
        <x:v>180</x:v>
      </x:c>
      <x:c r="C6" s="30" t="n">
        <x:v>19</x:v>
      </x:c>
      <x:c r="D6" s="30" t="n">
        <x:v>1</x:v>
      </x:c>
      <x:c r="E6" s="30" t="n">
        <x:v>24</x:v>
      </x:c>
      <x:c r="F6" s="54" t="n">
        <x:v>0.095</x:v>
      </x:c>
      <x:c r="G6" s="54" t="n">
        <x:v>1.65</x:v>
      </x:c>
      <x:c r="H6" s="30" t="n">
        <x:v>90</x:v>
      </x:c>
      <x:c r="I6" s="55" t="n">
        <x:v>1.8</x:v>
      </x:c>
      <x:c r="J6" s="30" t="n">
        <x:v>0</x:v>
      </x:c>
      <x:c r="K6" s="30" t="n">
        <x:f>ROUND(C6*(1+J6*$B$12),0)</x:f>
        <x:v>19</x:v>
      </x:c>
      <x:c r="L6" s="30" t="n">
        <x:v>0</x:v>
      </x:c>
      <x:c r="M6" s="54" t="n">
        <x:f>G6*(1-L6*$B$13)</x:f>
        <x:v>1.65</x:v>
      </x:c>
    </x:row>
    <x:row r="7" ht="30" customHeight="1">
      <x:c r="A7" s="30" t="str">
        <x:v>Horizon Longglass</x:v>
      </x:c>
      <x:c r="B7" s="30" t="n">
        <x:v>300</x:v>
      </x:c>
      <x:c r="C7" s="30" t="n">
        <x:v>112</x:v>
      </x:c>
      <x:c r="D7" s="30" t="n">
        <x:v>1</x:v>
      </x:c>
      <x:c r="E7" s="30" t="n">
        <x:v>4</x:v>
      </x:c>
      <x:c r="F7" s="54" t="n">
        <x:v>1.1</x:v>
      </x:c>
      <x:c r="G7" s="54" t="n">
        <x:v>2.15</x:v>
      </x:c>
      <x:c r="H7" s="30" t="n">
        <x:v>220</x:v>
      </x:c>
      <x:c r="I7" s="55" t="n">
        <x:v>4</x:v>
      </x:c>
      <x:c r="J7" s="30" t="n">
        <x:v>0</x:v>
      </x:c>
      <x:c r="K7" s="30" t="n">
        <x:f>ROUND(C7*(1+J7*$B$12),0)</x:f>
        <x:v>112</x:v>
      </x:c>
      <x:c r="L7" s="30" t="n">
        <x:v>0</x:v>
      </x:c>
      <x:c r="M7" s="54" t="n">
        <x:f>G7*(1-L7*$B$13)</x:f>
        <x:v>2.15</x:v>
      </x:c>
    </x:row>
    <x:row r="8" ht="30" customHeight="1">
      <x:c r="A8" s="30" t="str">
        <x:v>Foundry Scattergun</x:v>
      </x:c>
      <x:c r="B8" s="30" t="n">
        <x:v>220</x:v>
      </x:c>
      <x:c r="C8" s="30" t="n">
        <x:v>17</x:v>
      </x:c>
      <x:c r="D8" s="30" t="n">
        <x:v>6</x:v>
      </x:c>
      <x:c r="E8" s="30" t="n">
        <x:v>6</x:v>
      </x:c>
      <x:c r="F8" s="54" t="n">
        <x:v>0.7</x:v>
      </x:c>
      <x:c r="G8" s="54" t="n">
        <x:v>1.8</x:v>
      </x:c>
      <x:c r="H8" s="30" t="n">
        <x:v>32</x:v>
      </x:c>
      <x:c r="I8" s="55" t="n">
        <x:v>1.35</x:v>
      </x:c>
      <x:c r="J8" s="30" t="n">
        <x:v>0</x:v>
      </x:c>
      <x:c r="K8" s="30" t="n">
        <x:f>ROUND(C8*(1+J8*$B$12),0)</x:f>
        <x:v>17</x:v>
      </x:c>
      <x:c r="L8" s="30" t="n">
        <x:v>0</x:v>
      </x:c>
      <x:c r="M8" s="54" t="n">
        <x:f>G8*(1-L8*$B$13)</x:f>
        <x:v>1.8</x:v>
      </x:c>
    </x:row>
    <x:row r="11">
      <x:c r="A11" t="str">
        <x:v>Tuning constant</x:v>
      </x:c>
      <x:c r="B11" t="str">
        <x:v>Value</x:v>
      </x:c>
    </x:row>
    <x:row r="12">
      <x:c r="A12" t="str">
        <x:v>Damage gain per tier</x:v>
      </x:c>
      <x:c r="B12" s="53" t="n">
        <x:v>0.18</x:v>
      </x:c>
    </x:row>
    <x:row r="13">
      <x:c r="A13" t="str">
        <x:v>Reload reduction per tier</x:v>
      </x:c>
      <x:c r="B13" s="53" t="n">
        <x:v>0.18</x:v>
      </x:c>
    </x:row>
  </x:sheetData>
  <x:mergeCells>
    <x:mergeCell ref="A1:M1"/>
    <x:mergeCell ref="A2:M2"/>
  </x:mergeCells>
  <x:dataValidations count="2">
    <x:dataValidation type="list" sqref="J5:J8">
      <x:formula1>"0,1,2"</x:formula1>
    </x:dataValidation>
    <x:dataValidation type="list" sqref="L5:L8">
      <x:formula1>"0,1,2"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feed3ddddf41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3" hidden="0" customWidth="1"/>
    <x:col min="3" max="3" width="55" hidden="0" customWidth="1"/>
    <x:col min="4" max="4" width="48" hidden="0" customWidth="1"/>
    <x:col min="5" max="5" width="48" hidden="0" customWidth="1"/>
  </x:cols>
  <x:sheetData>
    <x:row r="1" ht="32" customHeight="1">
      <x:c r="A1" s="48" t="str">
        <x:v>COMBAT REVIEW / V0.3</x:v>
      </x:c>
      <x:c r="B1" s="48"/>
      <x:c r="C1" s="48"/>
      <x:c r="D1" s="48"/>
      <x:c r="E1" s="48"/>
    </x:row>
    <x:row r="4" ht="32" customHeight="1">
      <x:c r="A4" s="50" t="str">
        <x:v>Gate</x:v>
      </x:c>
      <x:c r="B4" s="50" t="str">
        <x:v>Player-visible outcome</x:v>
      </x:c>
      <x:c r="C4" s="50" t="str">
        <x:v>Acceptance</x:v>
      </x:c>
      <x:c r="D4" s="50" t="str">
        <x:v>Current evidence</x:v>
      </x:c>
      <x:c r="E4" s="50" t="str">
        <x:v>Remaining review</x:v>
      </x:c>
    </x:row>
    <x:row r="5" ht="66" customHeight="1">
      <x:c r="A5" s="30" t="str">
        <x:v>B01</x:v>
      </x:c>
      <x:c r="B5" s="30" t="str">
        <x:v>Buy and use a scoped rifle</x:v>
      </x:c>
      <x:c r="C5" s="30" t="str">
        <x:v>Buy Longglass, close kiosk, use actual 4× camera optic, hit a real target.</x:v>
      </x:c>
      <x:c r="D5" s="30" t="str">
        <x:v>Native arsenal suite: 15/15 checks, run 34066180486; scope, target hit and source screenshot verified.</x:v>
      </x:c>
      <x:c r="E5" s="30" t="str">
        <x:v>Player feel, weapon framing and balance still need feedback; the optic is flat-screen only.</x:v>
      </x:c>
    </x:row>
    <x:row r="6" ht="66" customHeight="1">
      <x:c r="A6" s="30" t="str">
        <x:v>B02/B03</x:v>
      </x:c>
      <x:c r="B6" s="30" t="str">
        <x:v>Earn → choose → upgrade</x:v>
      </x:c>
      <x:c r="C6" s="30" t="str">
        <x:v>Collect physical salvage once, spend credits on defined upgrade, restore saved kit.</x:v>
      </x:c>
      <x:c r="D6" s="30" t="str">
        <x:v>Native salvage → paid upgrade → reload/Continue loop passed. Automatic and scattergun loadouts also tested.</x:v>
      </x:c>
      <x:c r="E6" s="30" t="str">
        <x:v>Tune ammunition demand, encounter rewards and difficult-route value. Local single-player saves are not secure multiplayer currency.</x:v>
      </x:c>
    </x:row>
    <x:row r="7" ht="66" customHeight="1">
      <x:c r="A7" s="30" t="str">
        <x:v>B04</x:v>
      </x:c>
      <x:c r="B7" s="30" t="str">
        <x:v>Look freely and transfer</x:v>
      </x:c>
      <x:c r="C7" s="30" t="str">
        <x:v>Sight changes independently while riding; release then catch nearby eligible line; no rescue.</x:v>
      </x:c>
      <x:c r="D7" s="30" t="str">
        <x:v>59 Node checks include 20 general and 21 recorded-direction transfer samples. Native rail suite: 6/6, no rescue.</x:v>
      </x:c>
      <x:c r="E7" s="30" t="str">
        <x:v>Expand the connected route network and test more speeds and misses. A successful scripted-input ride does not certify enjoyment.</x:v>
      </x:c>
    </x:row>
    <x:row r="8" ht="66" customHeight="1">
      <x:c r="A8" s="30" t="str">
        <x:v>B05</x:v>
      </x:c>
      <x:c r="B8" s="30" t="str">
        <x:v>Distinguishable regions and enemies</x:v>
      </x:c>
      <x:c r="C8" s="30" t="str">
        <x:v>Different architecture, silhouettes and attacks; crosshair and touch controls stay clear.</x:v>
      </x:c>
      <x:c r="D8" s="30" t="str">
        <x:v>Actual viewfinder, Outfitters, free-look, weapon and mobile captures inspected; lettering and HUD/controls corrected.</x:v>
      </x:c>
      <x:c r="E8" s="30" t="str">
        <x:v>Art remains an early procedural prototype. Richer environments, enemy encounters and hardware frame-time testing remain open.</x:v>
      </x:c>
    </x:row>
    <x:row r="9" ht="66" customHeight="1">
      <x:c r="A9" s="30" t="str">
        <x:v>N02/N03</x:v>
      </x:c>
      <x:c r="B9" s="30" t="str">
        <x:v>Real multiplayer</x:v>
      </x:c>
      <x:c r="C9" s="30" t="str">
        <x:v>Two distinct clients share authoritative movement and loot without duplicate purchases.</x:v>
      </x:c>
      <x:c r="D9" s="30" t="str">
        <x:v>Not implemented; single-player remains explicit.</x:v>
      </x:c>
      <x:c r="E9" s="30" t="str">
        <x:v>Backend authority, validation, latency and reconnect tests.</x:v>
      </x:c>
    </x:row>
    <x:row r="10" ht="66" customHeight="1">
      <x:c r="A10" s="30" t="str">
        <x:v>X07</x:v>
      </x:c>
      <x:c r="B10" s="30" t="str">
        <x:v>Magnified VR optic</x:v>
      </x:c>
      <x:c r="C10" s="30" t="str">
        <x:v>Tracked lens magnifies target view without changing the entire eye projection.</x:v>
      </x:c>
      <x:c r="D10" s="30" t="str">
        <x:v>Not implemented; current optic is flat-screen only.</x:v>
      </x:c>
      <x:c r="E10" s="30" t="str">
        <x:v>Render-to-texture scope, eye alignment and Quest 3 profiling.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097e786d2be403d"/>
  </x:tableParts>
</x:worksheet>
</file>