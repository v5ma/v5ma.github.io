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344350d61d4014" /></Relationships>
</file>

<file path=xl/workbook.xml><?xml version="1.0" encoding="utf-8"?>
<x:workbook xmlns:x="http://schemas.openxmlformats.org/spreadsheetml/2006/main">
  <x:sheets>
    <x:sheet xmlns:r="http://schemas.openxmlformats.org/officeDocument/2006/relationships" name="Overview" sheetId="1" r:id="R2fbc1aa3fc8241ff"/>
    <x:sheet xmlns:r="http://schemas.openxmlformats.org/officeDocument/2006/relationships" name="Checklist" sheetId="2" r:id="Ra62a036b3b9b43a8"/>
    <x:sheet xmlns:r="http://schemas.openxmlformats.org/officeDocument/2006/relationships" name="Dependencies" sheetId="3" r:id="Rdb8911b258464e2b"/>
    <x:sheet xmlns:r="http://schemas.openxmlformats.org/officeDocument/2006/relationships" name="Chapter Map" sheetId="4" r:id="R1452ad39942c4dbf"/>
    <x:sheet xmlns:r="http://schemas.openxmlformats.org/officeDocument/2006/relationships" name="Source Coverage" sheetId="5" r:id="R7b780bbf50034ac0"/>
    <x:sheet xmlns:r="http://schemas.openxmlformats.org/officeDocument/2006/relationships" name="Textual Evidence" sheetId="6" r:id="Ra451336b3e2a418c"/>
    <x:sheet xmlns:r="http://schemas.openxmlformats.org/officeDocument/2006/relationships" name="Intellectual Debts" sheetId="7" r:id="R4505d6edb5da4a1c"/>
    <x:sheet xmlns:r="http://schemas.openxmlformats.org/officeDocument/2006/relationships" name="Release Gates" sheetId="8" r:id="Rfda8b46a0bd24e07"/>
    <x:sheet xmlns:r="http://schemas.openxmlformats.org/officeDocument/2006/relationships" name="Read Me" sheetId="9" r:id="R7d4b2ab6dcfa48a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3">
    <x:font>
      <x:sz val="11"/>
      <x:name val="Carlito"/>
    </x:font>
    <x:font>
      <x:sz val="10"/>
      <x:color rgb="FF203543"/>
      <x:name val="Aptos"/>
    </x:font>
    <x:font>
      <x:b/>
      <x:sz val="18"/>
      <x:color rgb="FFFFFFFF"/>
      <x:name val="Aptos"/>
    </x:font>
    <x:font>
      <x:sz val="9"/>
      <x:color rgb="FF516674"/>
      <x:name val="Aptos"/>
    </x:font>
    <x:font>
      <x:b/>
      <x:sz val="10"/>
      <x:color rgb="FFFFFFFF"/>
      <x:name val="Aptos"/>
    </x:font>
    <x:font>
      <x:b/>
      <x:sz val="10"/>
      <x:color rgb="FF203543"/>
      <x:name val="Aptos"/>
    </x:font>
    <x:font>
      <x:sz val="10"/>
      <x:color rgb="FF2458A0"/>
      <x:name val="Aptos"/>
    </x:font>
    <x:font>
      <x:sz val="9"/>
      <x:color rgb="FF203543"/>
      <x:name val="Consolas"/>
    </x:font>
    <x:font>
      <x:sz val="11"/>
      <x:color rgb="FF203543"/>
      <x:name val="Aptos"/>
    </x:font>
    <x:font>
      <x:b/>
      <x:sz val="22"/>
      <x:color rgb="FFFFFFFF"/>
      <x:name val="Aptos"/>
    </x:font>
    <x:font>
      <x:b/>
      <x:sz val="28"/>
      <x:color rgb="FF19364B"/>
      <x:name val="Aptos"/>
    </x:font>
    <x:font>
      <x:b/>
      <x:sz val="11"/>
      <x:color rgb="FFFFFFFF"/>
      <x:name val="Aptos"/>
    </x:font>
    <x:font>
      <x:sz val="9"/>
      <x:color rgb="FF203543"/>
      <x:name val="Aptos"/>
    </x:font>
  </x:fonts>
  <x:fills count="5">
    <x:fill>
      <x:patternFill patternType="none"/>
    </x:fill>
    <x:fill>
      <x:patternFill patternType="gray125"/>
    </x:fill>
    <x:fill>
      <x:patternFill patternType="solid">
        <x:fgColor rgb="FF19364B"/>
      </x:patternFill>
    </x:fill>
    <x:fill>
      <x:patternFill patternType="solid">
        <x:fgColor rgb="FFEAF1F4"/>
      </x:patternFill>
    </x:fill>
    <x:fill>
      <x:patternFill patternType="solid">
        <x:fgColor rgb="FF22736F"/>
      </x:patternFill>
    </x:fill>
  </x:fills>
  <x:borders count="2">
    <x:border/>
    <x:border/>
  </x:borders>
  <x:cellStyleXfs count="1">
    <x:xf numFmtId="0" fontId="0" fillId="0" borderId="0"/>
  </x:cellStyleXfs>
  <x:cellXfs count="6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1"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8" fillId="0" borderId="0" xfId="0" applyNumberFormat="1" applyFont="1" applyFill="1" applyBorder="1"/>
    <x:xf numFmtId="0" fontId="8" fillId="0" borderId="1" xfId="0" applyNumberFormat="1" applyFont="1" applyFill="1" applyBorder="1"/>
    <x:xf numFmtId="0" fontId="8" fillId="2" borderId="0" xfId="0" applyNumberFormat="1" applyFont="1" applyFill="1" applyBorder="1"/>
    <x:xf numFmtId="0" fontId="9" fillId="2" borderId="0" xfId="0" applyNumberFormat="1" applyFont="1" applyFill="1" applyBorder="1"/>
    <x:xf numFmtId="0" fontId="8" fillId="2" borderId="1" xfId="0" applyNumberFormat="1" applyFont="1" applyFill="1" applyBorder="1"/>
    <x:xf numFmtId="0" fontId="9" fillId="2"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4" borderId="0" xfId="0" applyNumberFormat="1" applyFont="1" applyFill="1" applyBorder="1"/>
    <x:xf numFmtId="0" fontId="8" fillId="4" borderId="1" xfId="0" applyNumberFormat="1" applyFont="1" applyFill="1" applyBorder="1"/>
    <x:xf numFmtId="0" fontId="10" fillId="3" borderId="0" xfId="0" applyNumberFormat="1" applyFont="1" applyFill="1" applyBorder="1"/>
    <x:xf numFmtId="0" fontId="10" fillId="3" borderId="1" xfId="0" applyNumberFormat="1" applyFont="1" applyFill="1" applyBorder="1"/>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11" fillId="4" borderId="0" xfId="0" applyNumberFormat="1" applyFont="1" applyFill="1" applyBorder="1"/>
    <x:xf numFmtId="0" fontId="11" fillId="4" borderId="1" xfId="0" applyNumberFormat="1" applyFont="1" applyFill="1" applyBorder="1"/>
    <x:xf numFmtId="0" fontId="8" fillId="3" borderId="0" xfId="0" applyNumberFormat="1" applyFont="1" applyFill="1" applyBorder="1" applyAlignment="1">
      <x:alignment vertical="center" wrapText="1"/>
    </x:xf>
    <x:xf numFmtId="0" fontId="8" fillId="3" borderId="1"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10" fillId="3" borderId="0" xfId="0" applyNumberFormat="1" applyFont="1" applyFill="1" applyBorder="1" applyAlignment="1">
      <x:alignment horizontal="center"/>
    </x:xf>
    <x:xf numFmtId="0" fontId="10" fillId="3" borderId="1" xfId="0" applyNumberFormat="1" applyFont="1" applyFill="1" applyBorder="1" applyAlignment="1">
      <x:alignment horizontal="center"/>
    </x:xf>
    <x:xf numFmtId="0" fontId="10" fillId="3" borderId="0" xfId="0" applyNumberFormat="1" applyFont="1" applyFill="1" applyBorder="1" applyAlignment="1">
      <x:alignment horizontal="center" vertical="center"/>
    </x:xf>
    <x:xf numFmtId="0" fontId="10" fillId="3" borderId="1" xfId="0" applyNumberFormat="1" applyFont="1" applyFill="1" applyBorder="1" applyAlignment="1">
      <x:alignment horizontal="center" vertical="center"/>
    </x:xf>
    <x:xf numFmtId="0" fontId="0" fillId="0" borderId="0" xfId="0" applyNumberFormat="1" applyFont="1" applyFill="1" applyBorder="1"/>
    <x:xf numFmtId="0" fontId="12" fillId="0" borderId="0" xfId="0" applyNumberFormat="1" applyFont="1" applyFill="1" applyBorder="1"/>
    <x:xf numFmtId="0" fontId="12" fillId="0" borderId="0" xfId="0" applyNumberFormat="1" applyFont="1" applyFill="1" applyBorder="1" applyAlignment="1">
      <x:alignment wrapText="1"/>
    </x:xf>
  </x:cellXfs>
  <x:cellStyles count="1">
    <x:cellStyle name="Normal" xfId="0"/>
  </x:cellStyles>
  <x:dxfs count="2">
    <x:dxf>
      <x:font>
        <x:color rgb="FF23573B"/>
      </x:font>
      <x:fill>
        <x:patternFill>
          <x:bgColor rgb="FFDCEFE6"/>
        </x:patternFill>
      </x:fill>
    </x:dxf>
    <x:dxf>
      <x:fill>
        <x:patternFill>
          <x:bgColor rgb="FFFBE4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9519d7485d458d" /><Relationship Type="http://schemas.openxmlformats.org/officeDocument/2006/relationships/theme" Target="/xl/theme/theme1.xml" Id="R8b738b599f40403d" /><Relationship Type="http://schemas.openxmlformats.org/officeDocument/2006/relationships/sharedStrings" Target="/xl/sharedStrings.xml" Id="R4b7f3bb9ef25476b" /><Relationship Type="http://schemas.openxmlformats.org/officeDocument/2006/relationships/worksheet" Target="/xl/worksheets/sheet1.xml" Id="R2fbc1aa3fc8241ff" /><Relationship Type="http://schemas.openxmlformats.org/officeDocument/2006/relationships/worksheet" Target="/xl/worksheets/sheet2.xml" Id="Ra62a036b3b9b43a8" /><Relationship Type="http://schemas.openxmlformats.org/officeDocument/2006/relationships/worksheet" Target="/xl/worksheets/sheet3.xml" Id="Rdb8911b258464e2b" /><Relationship Type="http://schemas.openxmlformats.org/officeDocument/2006/relationships/worksheet" Target="/xl/worksheets/sheet4.xml" Id="R1452ad39942c4dbf" /><Relationship Type="http://schemas.openxmlformats.org/officeDocument/2006/relationships/worksheet" Target="/xl/worksheets/sheet5.xml" Id="R7b780bbf50034ac0" /><Relationship Type="http://schemas.openxmlformats.org/officeDocument/2006/relationships/worksheet" Target="/xl/worksheets/sheet6.xml" Id="Ra451336b3e2a418c" /><Relationship Type="http://schemas.openxmlformats.org/officeDocument/2006/relationships/worksheet" Target="/xl/worksheets/sheet7.xml" Id="R4505d6edb5da4a1c" /><Relationship Type="http://schemas.openxmlformats.org/officeDocument/2006/relationships/worksheet" Target="/xl/worksheets/sheet8.xml" Id="Rfda8b46a0bd24e07" /><Relationship Type="http://schemas.openxmlformats.org/officeDocument/2006/relationships/worksheet" Target="/xl/worksheets/sheet9.xml" Id="R7d4b2ab6dcfa48a0" /></Relationships>
</file>

<file path=xl/drawings/_rels/drawing1.xml.rels>&#65279;<?xml version="1.0" encoding="utf-8"?><Relationships xmlns="http://schemas.openxmlformats.org/package/2006/relationships"><Relationship Type="http://schemas.openxmlformats.org/officeDocument/2006/relationships/chart" Target="/xl/drawings/charts/chart1.xml" Id="R070fcf6aae564bd2" /></Relationships>
</file>

<file path=xl/drawings/charts/chart1.xml><?xml version="1.0" encoding="utf-8"?>
<c:chartSpace xmlns:c="http://schemas.openxmlformats.org/drawingml/2006/chart">
  <c:lang val="en-US"/>
  <c:roundedCorners val="0"/>
  <c:chart>
    <c:plotArea>
      <c:barChart>
        <c:barDir val="bar"/>
        <c:grouping val="clustered"/>
        <c:varyColors val="0"/>
        <c:ser>
          <c:idx val="0"/>
          <c:order val="0"/>
          <c:tx>
            <c:v>Tasks</c:v>
          </c:tx>
          <c:cat>
            <c:strRef>
              <c:f>'Overview'!$A$15:$A$21</c:f>
              <c:strCache>
                <c:ptCount val="0"/>
              </c:strCache>
            </c:strRef>
          </c:cat>
          <c:val>
            <c:numRef>
              <c:f>'Overview'!$E$15:$E$21</c:f>
              <c:numCache>
                <c:formatCode>General</c:formatCode>
                <c:ptCount val="0"/>
              </c:numCache>
            </c:numRef>
          </c:val>
        </c:ser>
        <c:ser>
          <c:idx val="1"/>
          <c:order val="1"/>
          <c:tx>
            <c:v>Verified outputs</c:v>
          </c:tx>
          <c:cat>
            <c:strRef>
              <c:f>'Overview'!$A$15:$A$21</c:f>
              <c:strCache>
                <c:ptCount val="0"/>
              </c:strCache>
            </c:strRef>
          </c:cat>
          <c:val>
            <c:numRef>
              <c:f>'Overview'!$F$15:$F$21</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13</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0fcf6aae564bd2"/>
        </a:graphicData>
      </a:graphic>
    </xdr:graphicFrame>
    <xdr:clientData/>
  </xdr:twoCellAnchor>
</xdr:wsDr>
</file>

<file path=xl/tables/table1.xml><?xml version="1.0" encoding="utf-8"?>
<x:table xmlns:x="http://schemas.openxmlformats.org/spreadsheetml/2006/main" id="1" name="ChecklistTable" displayName="ChecklistTable" ref="A6:P42" headerRowCount="1" totalsRowCount="0" totalsRowShown="0">
  <x:tableColumns count="16">
    <x:tableColumn id="1" name="Task ID"/>
    <x:tableColumn id="2" name="Deliverable"/>
    <x:tableColumn id="3" name="Phase"/>
    <x:tableColumn id="4" name="Priority"/>
    <x:tableColumn id="5" name="Status"/>
    <x:tableColumn id="6" name="Responsible role"/>
    <x:tableColumn id="7" name="Prerequisite IDs"/>
    <x:tableColumn id="8" name="Dependency check"/>
    <x:tableColumn id="9" name="Acceptance criterion"/>
    <x:tableColumn id="10" name="Evidence paths / URLs"/>
    <x:tableColumn id="11" name="Target date"/>
    <x:tableColumn id="12" name="Personal notes"/>
    <x:tableColumn id="13" name="Chapter route IDs"/>
    <x:tableColumn id="14" name="Related reader URL"/>
    <x:tableColumn id="15" name="Verified flag"/>
    <x:tableColumn id="16" name="Ready to start"/>
  </x:tableColumns>
  <x:tableStyleInfo name="TableStyleMedium2" showFirstColumn="0" showLastColumn="0" showRowStripes="1" showColumnStripes="0"/>
</x:table>
</file>

<file path=xl/tables/table2.xml><?xml version="1.0" encoding="utf-8"?>
<x:table xmlns:x="http://schemas.openxmlformats.org/spreadsheetml/2006/main" id="2" name="DependenciesTable" displayName="DependenciesTable" ref="A6:F50" headerRowCount="1" totalsRowCount="0" totalsRowShown="0">
  <x:tableColumns count="6">
    <x:tableColumn id="1" name="Task ID"/>
    <x:tableColumn id="2" name="Prerequisite ID"/>
    <x:tableColumn id="3" name="Prerequisite deliverable"/>
    <x:tableColumn id="4" name="Prerequisite status"/>
    <x:tableColumn id="5" name="Satisfied"/>
    <x:tableColumn id="6" name="Reader URL"/>
  </x:tableColumns>
  <x:tableStyleInfo name="TableStyleMedium2" showFirstColumn="0" showLastColumn="0" showRowStripes="1" showColumnStripes="0"/>
</x:table>
</file>

<file path=xl/tables/table3.xml><?xml version="1.0" encoding="utf-8"?>
<x:table xmlns:x="http://schemas.openxmlformats.org/spreadsheetml/2006/main" id="3" name="ChapterMapTable" displayName="ChapterMapTable" ref="A6:K23" headerRowCount="1" totalsRowCount="0" totalsRowShown="0">
  <x:tableColumns count="11">
    <x:tableColumn id="1" name="Chapter ID"/>
    <x:tableColumn id="2" name="Book movement"/>
    <x:tableColumn id="3" name="Chapter route"/>
    <x:tableColumn id="4" name="Manuscript state"/>
    <x:tableColumn id="5" name="Article slugs"/>
    <x:tableColumn id="6" name="Referenced source slugs"/>
    <x:tableColumn id="7" name="Source count"/>
    <x:tableColumn id="8" name="Related task IDs"/>
    <x:tableColumn id="9" name="Author review"/>
    <x:tableColumn id="10" name="Purpose and transition"/>
    <x:tableColumn id="11" name="Reader URL"/>
  </x:tableColumns>
  <x:tableStyleInfo name="TableStyleMedium2" showFirstColumn="0" showLastColumn="0" showRowStripes="1" showColumnStripes="0"/>
</x:table>
</file>

<file path=xl/tables/table4.xml><?xml version="1.0" encoding="utf-8"?>
<x:table xmlns:x="http://schemas.openxmlformats.org/spreadsheetml/2006/main" id="4" name="SourceCoverageTable" displayName="SourceCoverageTable" ref="A6:N360" headerRowCount="1" totalsRowCount="0" totalsRowShown="0">
  <x:tableColumns count="14">
    <x:tableColumn id="1" name="Conversation"/>
    <x:tableColumn id="2" name="Original filename"/>
    <x:tableColumn id="3" name="Export-start date"/>
    <x:tableColumn id="4" name="Top-level turns"/>
    <x:tableColumn id="5" name="Article slugs"/>
    <x:tableColumn id="6" name="Article-link count"/>
    <x:tableColumn id="7" name="Selected turn numbers"/>
    <x:tableColumn id="8" name="Anchor count"/>
    <x:tableColumn id="9" name="Chapter IDs"/>
    <x:tableColumn id="10" name="Recorded coverage"/>
    <x:tableColumn id="11" name="Reading status"/>
    <x:tableColumn id="12" name="SHA-256"/>
    <x:tableColumn id="13" name="Original bytes"/>
    <x:tableColumn id="14" name="Reader URL"/>
  </x:tableColumns>
  <x:tableStyleInfo name="TableStyleMedium2" showFirstColumn="0" showLastColumn="0" showRowStripes="1" showColumnStripes="0"/>
</x:table>
</file>

<file path=xl/tables/table5.xml><?xml version="1.0" encoding="utf-8"?>
<x:table xmlns:x="http://schemas.openxmlformats.org/spreadsheetml/2006/main" id="5" name="TextualEvidenceTable" displayName="TextualEvidenceTable" ref="A6:H11" headerRowCount="1" totalsRowCount="0" totalsRowShown="0">
  <x:tableColumns count="8">
    <x:tableColumn id="1" name="Witness / text"/>
    <x:tableColumn id="2" name="Passage locator"/>
    <x:tableColumn id="3" name="Role in this reading"/>
    <x:tableColumn id="4" name="Comparison"/>
    <x:tableColumn id="5" name="What is not established"/>
    <x:tableColumn id="6" name="Source / translator"/>
    <x:tableColumn id="7" name="Access scope"/>
    <x:tableColumn id="8" name="Source URL"/>
  </x:tableColumns>
  <x:tableStyleInfo name="TableStyleMedium2" showFirstColumn="0" showLastColumn="0" showRowStripes="1" showColumnStripes="0"/>
</x:table>
</file>

<file path=xl/tables/table6.xml><?xml version="1.0" encoding="utf-8"?>
<x:table xmlns:x="http://schemas.openxmlformats.org/spreadsheetml/2006/main" id="6" name="IntellectualDebtsTable" displayName="IntellectualDebtsTable" ref="A6:F12" headerRowCount="1" totalsRowCount="0" totalsRowShown="0">
  <x:tableColumns count="6">
    <x:tableColumn id="1" name="Name"/>
    <x:tableColumn id="2" name="Type of relationship"/>
    <x:tableColumn id="3" name="Documented contribution"/>
    <x:tableColumn id="4" name="Attribution boundary"/>
    <x:tableColumn id="5" name="Original passages"/>
    <x:tableColumn id="6" name="Source URLs"/>
  </x:tableColumns>
  <x:tableStyleInfo name="TableStyleMedium2" showFirstColumn="0" showLastColumn="0" showRowStripes="1" showColumnStripes="0"/>
</x:table>
</file>

<file path=xl/tables/table7.xml><?xml version="1.0" encoding="utf-8"?>
<x:table xmlns:x="http://schemas.openxmlformats.org/spreadsheetml/2006/main" id="7" name="ReleaseGatesTable" displayName="ReleaseGatesTable" ref="A6:E13" headerRowCount="1" totalsRowCount="0" totalsRowShown="0">
  <x:tableColumns count="5">
    <x:tableColumn id="1" name="Gate ID"/>
    <x:tableColumn id="2" name="Gate"/>
    <x:tableColumn id="3" name="Acceptance evidence required"/>
    <x:tableColumn id="4" name="Assessment"/>
    <x:tableColumn id="5" name="Related tasks"/>
  </x:tableColumns>
  <x:tableStyleInfo name="TableStyleMedium2" showFirstColumn="0" showLastColumn="0" showRowStripes="1" showColumnStripes="0"/>
</x:table>
</file>

<file path=xl/tables/table8.xml><?xml version="1.0" encoding="utf-8"?>
<x:table xmlns:x="http://schemas.openxmlformats.org/spreadsheetml/2006/main" id="8" name="ReadMeTable" displayName="ReadMeTable" ref="A6:B21" headerRowCount="1" totalsRowCount="0" totalsRowShown="0">
  <x:tableColumns count="2">
    <x:tableColumn id="1" name="Field"/>
    <x:tableColumn id="2" name="Meaning /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ffb92f119e24785" /></Relationships>
</file>

<file path=xl/worksheets/_rels/sheet2.xml.rels>&#65279;<?xml version="1.0" encoding="utf-8"?><Relationships xmlns="http://schemas.openxmlformats.org/package/2006/relationships"><Relationship Type="http://schemas.openxmlformats.org/officeDocument/2006/relationships/table" Target="/xl/tables/table1.xml" Id="R5ddcef50f9bd403f" /></Relationships>
</file>

<file path=xl/worksheets/_rels/sheet3.xml.rels>&#65279;<?xml version="1.0" encoding="utf-8"?><Relationships xmlns="http://schemas.openxmlformats.org/package/2006/relationships"><Relationship Type="http://schemas.openxmlformats.org/officeDocument/2006/relationships/table" Target="/xl/tables/table2.xml" Id="R276491e41745444c" /></Relationships>
</file>

<file path=xl/worksheets/_rels/sheet4.xml.rels>&#65279;<?xml version="1.0" encoding="utf-8"?><Relationships xmlns="http://schemas.openxmlformats.org/package/2006/relationships"><Relationship Type="http://schemas.openxmlformats.org/officeDocument/2006/relationships/table" Target="/xl/tables/table3.xml" Id="R1cf0cab678f2406c" /></Relationships>
</file>

<file path=xl/worksheets/_rels/sheet5.xml.rels>&#65279;<?xml version="1.0" encoding="utf-8"?><Relationships xmlns="http://schemas.openxmlformats.org/package/2006/relationships"><Relationship Type="http://schemas.openxmlformats.org/officeDocument/2006/relationships/table" Target="/xl/tables/table4.xml" Id="R6b02113a87af4b14" /></Relationships>
</file>

<file path=xl/worksheets/_rels/sheet6.xml.rels>&#65279;<?xml version="1.0" encoding="utf-8"?><Relationships xmlns="http://schemas.openxmlformats.org/package/2006/relationships"><Relationship Type="http://schemas.openxmlformats.org/officeDocument/2006/relationships/table" Target="/xl/tables/table5.xml" Id="Rc5b7725588224b17" /></Relationships>
</file>

<file path=xl/worksheets/_rels/sheet7.xml.rels>&#65279;<?xml version="1.0" encoding="utf-8"?><Relationships xmlns="http://schemas.openxmlformats.org/package/2006/relationships"><Relationship Type="http://schemas.openxmlformats.org/officeDocument/2006/relationships/table" Target="/xl/tables/table6.xml" Id="R7741f83ca59f4f82" /></Relationships>
</file>

<file path=xl/worksheets/_rels/sheet8.xml.rels>&#65279;<?xml version="1.0" encoding="utf-8"?><Relationships xmlns="http://schemas.openxmlformats.org/package/2006/relationships"><Relationship Type="http://schemas.openxmlformats.org/officeDocument/2006/relationships/table" Target="/xl/tables/table7.xml" Id="R491a4979174646a7" /></Relationships>
</file>

<file path=xl/worksheets/_rels/sheet9.xml.rels>&#65279;<?xml version="1.0" encoding="utf-8"?><Relationships xmlns="http://schemas.openxmlformats.org/package/2006/relationships"><Relationship Type="http://schemas.openxmlformats.org/officeDocument/2006/relationships/table" Target="/xl/tables/table8.xml" Id="R92c699935969427a"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42" customHeight="1">
      <x:c r="A1" s="39" t="str">
        <x:v>THEOLOGY | Research-to-book roadmap</x:v>
      </x:c>
      <x:c r="B1" s="39"/>
      <x:c r="C1" s="39"/>
      <x:c r="D1" s="39"/>
      <x:c r="E1" s="39"/>
      <x:c r="F1" s="39"/>
      <x:c r="G1" s="39"/>
      <x:c r="H1" s="39"/>
      <x:c r="I1" s="39"/>
      <x:c r="J1" s="39"/>
      <x:c r="K1" s="39"/>
      <x:c r="L1" s="39"/>
    </x:row>
    <x:row r="2" ht="24" customHeight="1">
      <x:c r="A2" s="54" t="str">
        <x:v>A durable checklist, source map and dependency plan. Progress means verified deliverables, not a percentage of theological truth or manuscript completion.</x:v>
      </x:c>
      <x:c r="B2" s="54"/>
      <x:c r="C2" s="54"/>
      <x:c r="D2" s="54"/>
      <x:c r="E2" s="54"/>
      <x:c r="F2" s="54"/>
      <x:c r="G2" s="54"/>
      <x:c r="H2" s="54"/>
      <x:c r="I2" s="54"/>
      <x:c r="J2" s="54"/>
      <x:c r="K2" s="54"/>
      <x:c r="L2" s="54"/>
    </x:row>
    <x:row r="3" ht="24" customHeight="1">
      <x:c r="A3" s="54"/>
      <x:c r="B3" s="54"/>
      <x:c r="C3" s="54"/>
      <x:c r="D3" s="54"/>
      <x:c r="E3" s="54"/>
      <x:c r="F3" s="54"/>
      <x:c r="G3" s="54"/>
      <x:c r="H3" s="54"/>
      <x:c r="I3" s="54"/>
      <x:c r="J3" s="54"/>
      <x:c r="K3" s="54"/>
      <x:c r="L3" s="54"/>
    </x:row>
    <x:row r="4">
      <x:c r="A4" s="36"/>
      <x:c r="B4" s="36"/>
      <x:c r="C4" s="36"/>
      <x:c r="D4" s="36"/>
      <x:c r="E4" s="36"/>
      <x:c r="F4" s="36"/>
      <x:c r="G4" s="36"/>
      <x:c r="H4" s="36"/>
      <x:c r="I4" s="36"/>
      <x:c r="J4" s="36"/>
      <x:c r="K4" s="36"/>
      <x:c r="L4" s="36"/>
    </x:row>
    <x:row r="5" ht="34" customHeight="1">
      <x:c r="A5" s="64" t="str">
        <x:v>Content edition: 2026.09.06-priesthood-time-1</x:v>
      </x:c>
      <x:c r="B5" s="64"/>
      <x:c r="C5" s="64"/>
      <x:c r="D5" s="64"/>
      <x:c r="E5" s="36" t="str">
        <x:v>As of 2026-09-06</x:v>
      </x:c>
      <x:c r="F5" s="36"/>
      <x:c r="G5" s="36"/>
      <x:c r="H5" s="36"/>
      <x:c r="I5" s="36"/>
      <x:c r="J5" s="36"/>
      <x:c r="K5" s="36"/>
      <x:c r="L5" s="36"/>
    </x:row>
    <x:row r="6">
      <x:c r="A6" s="36"/>
      <x:c r="B6" s="36"/>
      <x:c r="C6" s="36"/>
      <x:c r="D6" s="36"/>
      <x:c r="E6" s="36"/>
      <x:c r="F6" s="36"/>
      <x:c r="G6" s="36"/>
      <x:c r="H6" s="36"/>
      <x:c r="I6" s="36"/>
      <x:c r="J6" s="36"/>
      <x:c r="K6" s="36"/>
      <x:c r="L6" s="36"/>
    </x:row>
    <x:row r="7" ht="24" customHeight="1">
      <x:c r="A7" s="17" t="str">
        <x:v>DELIVERABLES</x:v>
      </x:c>
      <x:c r="B7" s="17"/>
      <x:c r="C7" s="17"/>
      <x:c r="D7" s="17" t="str">
        <x:v>VERIFIED OUTPUTS</x:v>
      </x:c>
      <x:c r="E7" s="17"/>
      <x:c r="F7" s="17"/>
      <x:c r="G7" s="17" t="str">
        <x:v>READY TO START</x:v>
      </x:c>
      <x:c r="H7" s="17"/>
      <x:c r="I7" s="17"/>
      <x:c r="J7" s="17" t="str">
        <x:v>SOURCE RECORDS</x:v>
      </x:c>
      <x:c r="K7" s="17"/>
      <x:c r="L7" s="17"/>
    </x:row>
    <x:row r="8" ht="25" customHeight="1">
      <x:c r="A8" s="60" t="n">
        <x:f>COUNTA(Checklist!A7:A42)</x:f>
        <x:v>36</x:v>
      </x:c>
      <x:c r="B8" s="60"/>
      <x:c r="C8" s="60"/>
      <x:c r="D8" s="60" t="n">
        <x:f>SUM(Checklist!O7:O42)</x:f>
        <x:v>8</x:v>
      </x:c>
      <x:c r="E8" s="60"/>
      <x:c r="F8" s="60"/>
      <x:c r="G8" s="60" t="n">
        <x:f>COUNTIF(Checklist!P7:P42,"Ready")</x:f>
        <x:v>7</x:v>
      </x:c>
      <x:c r="H8" s="60"/>
      <x:c r="I8" s="60"/>
      <x:c r="J8" s="60" t="n">
        <x:f>COUNTA('Source Coverage'!A7:A360)</x:f>
        <x:v>354</x:v>
      </x:c>
      <x:c r="K8" s="60"/>
      <x:c r="L8" s="60"/>
    </x:row>
    <x:row r="9" ht="25" customHeight="1">
      <x:c r="A9" s="60"/>
      <x:c r="B9" s="60"/>
      <x:c r="C9" s="60"/>
      <x:c r="D9" s="60"/>
      <x:c r="E9" s="60"/>
      <x:c r="F9" s="60"/>
      <x:c r="G9" s="60"/>
      <x:c r="H9" s="60"/>
      <x:c r="I9" s="60"/>
      <x:c r="J9" s="60"/>
      <x:c r="K9" s="60"/>
      <x:c r="L9" s="60"/>
    </x:row>
    <x:row r="10">
      <x:c r="A10" s="36"/>
      <x:c r="B10" s="36"/>
      <x:c r="C10" s="36"/>
      <x:c r="D10" s="36"/>
      <x:c r="E10" s="36"/>
      <x:c r="F10" s="36"/>
      <x:c r="G10" s="36"/>
      <x:c r="H10" s="36"/>
      <x:c r="I10" s="36"/>
      <x:c r="J10" s="36"/>
      <x:c r="K10" s="36"/>
      <x:c r="L10" s="36"/>
    </x:row>
    <x:row r="11" ht="26" customHeight="1">
      <x:c r="A11" s="56" t="str">
        <x:v>Begin with Checklist. Change a local status to see Dependencies and Ready to start recalculate. Chapter Map and Source Coverage show the recorded basis of the book; Release Gates remain unassessed until evidence and author review are recorded.</x:v>
      </x:c>
      <x:c r="B11" s="56"/>
      <x:c r="C11" s="56"/>
      <x:c r="D11" s="56"/>
      <x:c r="E11" s="56"/>
      <x:c r="F11" s="56"/>
      <x:c r="G11" s="56"/>
      <x:c r="H11" s="56"/>
      <x:c r="I11" s="56"/>
      <x:c r="J11" s="56"/>
      <x:c r="K11" s="56"/>
      <x:c r="L11" s="56"/>
    </x:row>
    <x:row r="12" ht="26" customHeight="1">
      <x:c r="A12" s="56"/>
      <x:c r="B12" s="56"/>
      <x:c r="C12" s="56"/>
      <x:c r="D12" s="56"/>
      <x:c r="E12" s="56"/>
      <x:c r="F12" s="56"/>
      <x:c r="G12" s="56"/>
      <x:c r="H12" s="56"/>
      <x:c r="I12" s="56"/>
      <x:c r="J12" s="56"/>
      <x:c r="K12" s="56"/>
      <x:c r="L12" s="56"/>
    </x:row>
    <x:row r="13">
      <x:c r="A13" s="36"/>
      <x:c r="B13" s="36"/>
      <x:c r="C13" s="36"/>
      <x:c r="D13" s="36"/>
      <x:c r="E13" s="36"/>
      <x:c r="F13" s="36"/>
      <x:c r="G13" s="36"/>
      <x:c r="H13" s="36"/>
      <x:c r="I13" s="36"/>
      <x:c r="J13" s="36"/>
      <x:c r="K13" s="36"/>
      <x:c r="L13" s="36"/>
    </x:row>
    <x:row r="14" ht="26" customHeight="1">
      <x:c r="A14" s="52" t="str">
        <x:v>Work phase</x:v>
      </x:c>
      <x:c r="B14" s="52"/>
      <x:c r="C14" s="52"/>
      <x:c r="D14" s="52"/>
      <x:c r="E14" s="52" t="str">
        <x:v>Tasks</x:v>
      </x:c>
      <x:c r="F14" s="52" t="str">
        <x:v>Verified</x:v>
      </x:c>
      <x:c r="G14" s="36"/>
      <x:c r="H14" s="36"/>
      <x:c r="I14" s="36"/>
      <x:c r="J14" s="36"/>
      <x:c r="K14" s="36"/>
      <x:c r="L14" s="36"/>
    </x:row>
    <x:row r="15" ht="35" customHeight="1">
      <x:c r="A15" s="50" t="str">
        <x:v>Preserve and map the corpus</x:v>
      </x:c>
      <x:c r="B15" s="50"/>
      <x:c r="C15" s="50"/>
      <x:c r="D15" s="50"/>
      <x:c r="E15" s="36" t="n">
        <x:f>COUNTIF(Checklist!$C$7:$C$42,A15)</x:f>
        <x:v>7</x:v>
      </x:c>
      <x:c r="F15" s="36" t="n">
        <x:f>SUMIF(Checklist!$C$7:$C$42,A15,Checklist!$O$7:$O$42)</x:f>
        <x:v>6</x:v>
      </x:c>
      <x:c r="G15" s="36"/>
      <x:c r="H15" s="36"/>
      <x:c r="I15" s="36"/>
      <x:c r="J15" s="36"/>
      <x:c r="K15" s="36"/>
      <x:c r="L15" s="36"/>
    </x:row>
    <x:row r="16" ht="35" customHeight="1">
      <x:c r="A16" s="50" t="str">
        <x:v>Assemble and verify passages</x:v>
      </x:c>
      <x:c r="B16" s="50"/>
      <x:c r="C16" s="50"/>
      <x:c r="D16" s="50"/>
      <x:c r="E16" s="36" t="n">
        <x:f>COUNTIF(Checklist!$C$7:$C$42,A16)</x:f>
        <x:v>10</x:v>
      </x:c>
      <x:c r="F16" s="36" t="n">
        <x:f>SUMIF(Checklist!$C$7:$C$42,A16,Checklist!$O$7:$O$42)</x:f>
        <x:v>1</x:v>
      </x:c>
      <x:c r="G16" s="36"/>
      <x:c r="H16" s="36"/>
      <x:c r="I16" s="36"/>
      <x:c r="J16" s="36"/>
      <x:c r="K16" s="36"/>
      <x:c r="L16" s="36"/>
    </x:row>
    <x:row r="17" ht="35" customHeight="1">
      <x:c r="A17" s="50" t="str">
        <x:v>Develop complete arguments</x:v>
      </x:c>
      <x:c r="B17" s="50"/>
      <x:c r="C17" s="50"/>
      <x:c r="D17" s="50"/>
      <x:c r="E17" s="36" t="n">
        <x:f>COUNTIF(Checklist!$C$7:$C$42,A17)</x:f>
        <x:v>5</x:v>
      </x:c>
      <x:c r="F17" s="36" t="n">
        <x:f>SUMIF(Checklist!$C$7:$C$42,A17,Checklist!$O$7:$O$42)</x:f>
        <x:v>0</x:v>
      </x:c>
      <x:c r="G17" s="36"/>
      <x:c r="H17" s="36"/>
      <x:c r="I17" s="36"/>
      <x:c r="J17" s="36"/>
      <x:c r="K17" s="36"/>
      <x:c r="L17" s="36"/>
    </x:row>
    <x:row r="18" ht="35" customHeight="1">
      <x:c r="A18" s="50" t="str">
        <x:v>Connect the book</x:v>
      </x:c>
      <x:c r="B18" s="50"/>
      <x:c r="C18" s="50"/>
      <x:c r="D18" s="50"/>
      <x:c r="E18" s="36" t="n">
        <x:f>COUNTIF(Checklist!$C$7:$C$42,A18)</x:f>
        <x:v>3</x:v>
      </x:c>
      <x:c r="F18" s="36" t="n">
        <x:f>SUMIF(Checklist!$C$7:$C$42,A18,Checklist!$O$7:$O$42)</x:f>
        <x:v>1</x:v>
      </x:c>
      <x:c r="G18" s="36"/>
      <x:c r="H18" s="36"/>
      <x:c r="I18" s="36"/>
      <x:c r="J18" s="36"/>
      <x:c r="K18" s="36"/>
      <x:c r="L18" s="36"/>
    </x:row>
    <x:row r="19" ht="35" customHeight="1">
      <x:c r="A19" s="50" t="str">
        <x:v>Assemble chapter drafts</x:v>
      </x:c>
      <x:c r="B19" s="50"/>
      <x:c r="C19" s="50"/>
      <x:c r="D19" s="50"/>
      <x:c r="E19" s="36" t="n">
        <x:f>COUNTIF(Checklist!$C$7:$C$42,A19)</x:f>
        <x:v>2</x:v>
      </x:c>
      <x:c r="F19" s="36" t="n">
        <x:f>SUMIF(Checklist!$C$7:$C$42,A19,Checklist!$O$7:$O$42)</x:f>
        <x:v>0</x:v>
      </x:c>
      <x:c r="G19" s="36"/>
      <x:c r="H19" s="36"/>
      <x:c r="I19" s="36"/>
      <x:c r="J19" s="36"/>
      <x:c r="K19" s="36"/>
      <x:c r="L19" s="36"/>
    </x:row>
    <x:row r="20" ht="35" customHeight="1">
      <x:c r="A20" s="50" t="str">
        <x:v>Review meaning and presentation</x:v>
      </x:c>
      <x:c r="B20" s="50"/>
      <x:c r="C20" s="50"/>
      <x:c r="D20" s="50"/>
      <x:c r="E20" s="36" t="n">
        <x:f>COUNTIF(Checklist!$C$7:$C$42,A20)</x:f>
        <x:v>7</x:v>
      </x:c>
      <x:c r="F20" s="36" t="n">
        <x:f>SUMIF(Checklist!$C$7:$C$42,A20,Checklist!$O$7:$O$42)</x:f>
        <x:v>0</x:v>
      </x:c>
      <x:c r="G20" s="36"/>
      <x:c r="H20" s="36"/>
      <x:c r="I20" s="36"/>
      <x:c r="J20" s="36"/>
      <x:c r="K20" s="36"/>
      <x:c r="L20" s="36"/>
    </x:row>
    <x:row r="21" ht="35" customHeight="1">
      <x:c r="A21" s="50" t="str">
        <x:v>Prepare a stable edition</x:v>
      </x:c>
      <x:c r="B21" s="50"/>
      <x:c r="C21" s="50"/>
      <x:c r="D21" s="50"/>
      <x:c r="E21" s="36" t="n">
        <x:f>COUNTIF(Checklist!$C$7:$C$42,A21)</x:f>
        <x:v>2</x:v>
      </x:c>
      <x:c r="F21" s="36" t="n">
        <x:f>SUMIF(Checklist!$C$7:$C$42,A21,Checklist!$O$7:$O$42)</x:f>
        <x:v>0</x:v>
      </x:c>
      <x:c r="G21" s="36"/>
      <x:c r="H21" s="36"/>
      <x:c r="I21" s="36"/>
      <x:c r="J21" s="36"/>
      <x:c r="K21" s="36"/>
      <x:c r="L21" s="36"/>
    </x:row>
    <x:row r="22">
      <x:c r="A22" s="36"/>
      <x:c r="B22" s="36"/>
      <x:c r="C22" s="36"/>
      <x:c r="D22" s="36"/>
      <x:c r="E22" s="36"/>
      <x:c r="F22" s="36"/>
      <x:c r="G22" s="36"/>
      <x:c r="H22" s="36"/>
      <x:c r="I22" s="36"/>
      <x:c r="J22" s="36"/>
      <x:c r="K22" s="36"/>
      <x:c r="L22" s="36"/>
    </x:row>
    <x:row r="23">
      <x:c r="A23" s="36"/>
      <x:c r="B23" s="36"/>
      <x:c r="C23" s="36"/>
      <x:c r="D23" s="36"/>
      <x:c r="E23" s="36"/>
      <x:c r="F23" s="36"/>
      <x:c r="G23" s="36"/>
      <x:c r="H23" s="36"/>
      <x:c r="I23" s="36"/>
      <x:c r="J23" s="36"/>
      <x:c r="K23" s="36"/>
      <x:c r="L23" s="36"/>
    </x:row>
    <x:row r="24">
      <x:c r="A24" s="36" t="str">
        <x:v>Sources linked to developed articles</x:v>
      </x:c>
      <x:c r="B24" s="36"/>
      <x:c r="C24" s="36"/>
      <x:c r="D24" s="36"/>
      <x:c r="E24" s="36"/>
      <x:c r="F24" s="36" t="n">
        <x:f>COUNTIF('Source Coverage'!F7:F360,"&gt;0")</x:f>
        <x:v>26</x:v>
      </x:c>
      <x:c r="G24" s="36"/>
      <x:c r="H24" s="36"/>
      <x:c r="I24" s="36"/>
      <x:c r="J24" s="36"/>
      <x:c r="K24" s="36"/>
      <x:c r="L24" s="36"/>
    </x:row>
    <x:row r="25">
      <x:c r="A25" s="36" t="str">
        <x:v>Sources with selected turn anchors</x:v>
      </x:c>
      <x:c r="B25" s="36"/>
      <x:c r="C25" s="36"/>
      <x:c r="D25" s="36"/>
      <x:c r="E25" s="36"/>
      <x:c r="F25" s="36" t="n">
        <x:f>COUNTIF('Source Coverage'!H7:H360,"&gt;0")</x:f>
        <x:v>13</x:v>
      </x:c>
      <x:c r="G25" s="36"/>
      <x:c r="H25" s="36"/>
      <x:c r="I25" s="36"/>
      <x:c r="J25" s="36"/>
      <x:c r="K25" s="36"/>
      <x:c r="L25" s="36"/>
    </x:row>
    <x:row r="26">
      <x:c r="A26" s="36" t="str">
        <x:v>Proposed chapter routes</x:v>
      </x:c>
      <x:c r="B26" s="36"/>
      <x:c r="C26" s="36"/>
      <x:c r="D26" s="36"/>
      <x:c r="E26" s="36"/>
      <x:c r="F26" s="36" t="n">
        <x:f>COUNTA('Chapter Map'!A7:A23)</x:f>
        <x:v>17</x:v>
      </x:c>
      <x:c r="G26" s="36"/>
      <x:c r="H26" s="36"/>
      <x:c r="I26" s="36"/>
      <x:c r="J26" s="36"/>
      <x:c r="K26" s="36"/>
      <x:c r="L26" s="36"/>
    </x:row>
    <x:row r="27">
      <x:c r="A27" s="36"/>
      <x:c r="B27" s="36"/>
      <x:c r="C27" s="36"/>
      <x:c r="D27" s="36"/>
      <x:c r="E27" s="36"/>
      <x:c r="F27" s="36"/>
      <x:c r="G27" s="36"/>
      <x:c r="H27" s="36"/>
      <x:c r="I27" s="36"/>
      <x:c r="J27" s="36"/>
      <x:c r="K27" s="36"/>
      <x:c r="L27" s="36"/>
    </x:row>
    <x:row r="28" ht="23" customHeight="1">
      <x:c r="A28" s="54" t="str">
        <x:v>NEW WORKED STUDIES: Daniel's counted history and the Oniad Egyptian branch. Precise textual restoration, event anchoring, the 343-year duration, and later Gnostic/Ethiopian intermediates remain open. The complete arguments and 12 evidence records are linked from the wiki.</x:v>
      </x:c>
      <x:c r="B28" s="54"/>
      <x:c r="C28" s="54"/>
      <x:c r="D28" s="54"/>
      <x:c r="E28" s="54"/>
      <x:c r="F28" s="54"/>
      <x:c r="G28" s="54"/>
      <x:c r="H28" s="54"/>
      <x:c r="I28" s="54"/>
      <x:c r="J28" s="54"/>
      <x:c r="K28" s="54"/>
      <x:c r="L28" s="54"/>
    </x:row>
    <x:row r="29" ht="23" customHeight="1">
      <x:c r="A29" s="54"/>
      <x:c r="B29" s="54"/>
      <x:c r="C29" s="54"/>
      <x:c r="D29" s="54"/>
      <x:c r="E29" s="54"/>
      <x:c r="F29" s="54"/>
      <x:c r="G29" s="54"/>
      <x:c r="H29" s="54"/>
      <x:c r="I29" s="54"/>
      <x:c r="J29" s="54"/>
      <x:c r="K29" s="54"/>
      <x:c r="L29" s="54"/>
    </x:row>
    <x:row r="30" ht="23" customHeight="1">
      <x:c r="A30" s="54"/>
      <x:c r="B30" s="54"/>
      <x:c r="C30" s="54"/>
      <x:c r="D30" s="54"/>
      <x:c r="E30" s="54"/>
      <x:c r="F30" s="54"/>
      <x:c r="G30" s="54"/>
      <x:c r="H30" s="54"/>
      <x:c r="I30" s="54"/>
      <x:c r="J30" s="54"/>
      <x:c r="K30" s="54"/>
      <x:c r="L30" s="54"/>
    </x:row>
    <x:row r="31">
      <x:c r="A31" s="36"/>
      <x:c r="B31" s="36"/>
      <x:c r="C31" s="36"/>
      <x:c r="D31" s="36"/>
      <x:c r="E31" s="36"/>
      <x:c r="F31" s="36"/>
      <x:c r="G31" s="36"/>
      <x:c r="H31" s="36"/>
      <x:c r="I31" s="36"/>
      <x:c r="J31" s="36"/>
      <x:c r="K31" s="36"/>
      <x:c r="L31" s="36"/>
    </x:row>
    <x:row r="32" ht="24" customHeight="1">
      <x:c r="A32" s="56" t="str">
        <x:v>SHARED VS PERSONAL: the published roadmap is repository-backed. Excel and browser-board edits are local planning copies. Only a reviewed repository change updates public statuses; only author review approves the manuscript.</x:v>
      </x:c>
      <x:c r="B32" s="56"/>
      <x:c r="C32" s="56"/>
      <x:c r="D32" s="56"/>
      <x:c r="E32" s="56"/>
      <x:c r="F32" s="56"/>
      <x:c r="G32" s="56"/>
      <x:c r="H32" s="56"/>
      <x:c r="I32" s="56"/>
      <x:c r="J32" s="56"/>
      <x:c r="K32" s="56"/>
      <x:c r="L32" s="56"/>
    </x:row>
    <x:row r="33" ht="24" customHeight="1">
      <x:c r="A33" s="56"/>
      <x:c r="B33" s="56"/>
      <x:c r="C33" s="56"/>
      <x:c r="D33" s="56"/>
      <x:c r="E33" s="56"/>
      <x:c r="F33" s="56"/>
      <x:c r="G33" s="56"/>
      <x:c r="H33" s="56"/>
      <x:c r="I33" s="56"/>
      <x:c r="J33" s="56"/>
      <x:c r="K33" s="56"/>
      <x:c r="L33" s="56"/>
    </x:row>
    <x:row r="34">
      <x:c r="A34" s="36"/>
      <x:c r="B34" s="36"/>
      <x:c r="C34" s="36"/>
      <x:c r="D34" s="36"/>
      <x:c r="E34" s="36"/>
      <x:c r="F34" s="36"/>
      <x:c r="G34" s="36"/>
      <x:c r="H34" s="36"/>
      <x:c r="I34" s="36"/>
      <x:c r="J34" s="36"/>
      <x:c r="K34" s="36"/>
      <x:c r="L34" s="36"/>
    </x:row>
    <x:row r="35">
      <x:c r="A35" s="36"/>
      <x:c r="B35" s="36"/>
      <x:c r="C35" s="36"/>
      <x:c r="D35" s="36"/>
      <x:c r="E35" s="36"/>
      <x:c r="F35" s="36"/>
      <x:c r="G35" s="36"/>
      <x:c r="H35" s="36"/>
      <x:c r="I35" s="36"/>
      <x:c r="J35" s="36"/>
      <x:c r="K35" s="36"/>
      <x:c r="L35" s="36"/>
    </x:row>
  </x:sheetData>
  <x:mergeCells>
    <x:mergeCell ref="A1:L1"/>
    <x:mergeCell ref="A2:L3"/>
    <x:mergeCell ref="A5:D5"/>
    <x:mergeCell ref="E5:H5"/>
    <x:mergeCell ref="A7:C7"/>
    <x:mergeCell ref="A8:C9"/>
    <x:mergeCell ref="D7:F7"/>
    <x:mergeCell ref="D8:F9"/>
    <x:mergeCell ref="G7:I7"/>
    <x:mergeCell ref="G8:I9"/>
    <x:mergeCell ref="J7:L7"/>
    <x:mergeCell ref="J8:L9"/>
    <x:mergeCell ref="A11:L12"/>
    <x:mergeCell ref="A14:D14"/>
    <x:mergeCell ref="A15:D15"/>
    <x:mergeCell ref="A16:D16"/>
    <x:mergeCell ref="A17:D17"/>
    <x:mergeCell ref="A18:D18"/>
    <x:mergeCell ref="A19:D19"/>
    <x:mergeCell ref="A20:D20"/>
    <x:mergeCell ref="A21:D21"/>
    <x:mergeCell ref="A24:E24"/>
    <x:mergeCell ref="A25:E25"/>
    <x:mergeCell ref="A26:E26"/>
    <x:mergeCell ref="A28:L30"/>
    <x:mergeCell ref="A32:L33"/>
  </x:mergeCells>
  <x:pageMargins left="0.7" right="0.7" top="0.75" bottom="0.75" header="0.3" footer="0.3"/>
  <x:drawing xmlns:r="http://schemas.openxmlformats.org/officeDocument/2006/relationships" r:id="Raffb92f119e24785"/>
</x:worksheet>
</file>

<file path=xl/worksheets/sheet2.xml><?xml version="1.0" encoding="utf-8"?>
<x:worksheet xmlns:x="http://schemas.openxmlformats.org/spreadsheetml/2006/main">
  <x:sheetFormatPr defaultRowHeight="15"/>
  <x:cols>
    <x:col min="1" max="1" width="25" hidden="0" customWidth="1"/>
    <x:col min="2" max="2" width="40" hidden="0" customWidth="1"/>
    <x:col min="3" max="3" width="30" hidden="0" customWidth="1"/>
    <x:col min="4" max="4" width="12" hidden="0" customWidth="1"/>
    <x:col min="5" max="5" width="20" hidden="0" customWidth="1"/>
    <x:col min="6" max="6" width="29" hidden="0" customWidth="1"/>
    <x:col min="7" max="7" width="26" hidden="0" customWidth="1"/>
    <x:col min="8" max="8" width="25" hidden="0" customWidth="1"/>
    <x:col min="9" max="9" width="55" hidden="0" customWidth="1"/>
    <x:col min="10" max="10" width="50" hidden="0" customWidth="1"/>
    <x:col min="11" max="11" width="15" hidden="0" customWidth="1"/>
    <x:col min="12" max="12" width="42" hidden="0" customWidth="1"/>
    <x:col min="13" max="13" width="29" hidden="0" customWidth="1"/>
    <x:col min="14" max="14" width="55" hidden="0" customWidth="1"/>
    <x:col min="15" max="15" width="14" hidden="0" customWidth="1"/>
    <x:col min="16" max="16" width="16" hidden="0" customWidth="1"/>
  </x:cols>
  <x:sheetData>
    <x:row r="1" ht="36" customHeight="1">
      <x:c r="A1" s="5" t="str">
        <x:v>Theology | Long-term deliverables</x:v>
      </x:c>
      <x:c r="B1" s="5"/>
      <x:c r="C1" s="5"/>
      <x:c r="D1" s="5"/>
      <x:c r="E1" s="5"/>
      <x:c r="F1" s="5"/>
      <x:c r="G1" s="5"/>
      <x:c r="H1" s="5"/>
      <x:c r="I1" s="5"/>
      <x:c r="J1" s="5"/>
      <x:c r="K1" s="5"/>
      <x:c r="L1" s="5"/>
      <x:c r="M1" s="5"/>
      <x:c r="N1" s="5"/>
      <x:c r="O1" s="5"/>
      <x:c r="P1" s="5"/>
    </x:row>
    <x:row r="2" ht="22" customHeight="1">
      <x:c r="A2" s="10" t="str">
        <x:v>Status, priority, role, target date and personal notes can be edited here. These edits do not write to GitHub. Verified output applies only to the acceptance criterion in that row, not to the truth of an argument.</x:v>
      </x:c>
      <x:c r="B2" s="10"/>
      <x:c r="C2" s="10"/>
      <x:c r="D2" s="10"/>
      <x:c r="E2" s="10"/>
      <x:c r="F2" s="10"/>
      <x:c r="G2" s="10"/>
      <x:c r="H2" s="10"/>
      <x:c r="I2" s="10"/>
      <x:c r="J2" s="10"/>
      <x:c r="K2" s="10"/>
      <x:c r="L2" s="10"/>
      <x:c r="M2" s="10"/>
      <x:c r="N2" s="10"/>
      <x:c r="O2" s="10"/>
      <x:c r="P2" s="10"/>
    </x:row>
    <x:row r="3" ht="22" customHeight="1">
      <x:c r="A3" s="10"/>
      <x:c r="B3" s="10"/>
      <x:c r="C3" s="10"/>
      <x:c r="D3" s="10"/>
      <x:c r="E3" s="10"/>
      <x:c r="F3" s="10"/>
      <x:c r="G3" s="10"/>
      <x:c r="H3" s="10"/>
      <x:c r="I3" s="10"/>
      <x:c r="J3" s="10"/>
      <x:c r="K3" s="10"/>
      <x:c r="L3" s="10"/>
      <x:c r="M3" s="10"/>
      <x:c r="N3" s="10"/>
      <x:c r="O3" s="10"/>
      <x:c r="P3" s="10"/>
    </x:row>
    <x:row r="4">
      <x:c r="A4" s="2"/>
      <x:c r="B4" s="2"/>
      <x:c r="C4" s="2"/>
      <x:c r="D4" s="2"/>
      <x:c r="E4" s="2"/>
      <x:c r="F4" s="2"/>
      <x:c r="G4" s="2"/>
      <x:c r="H4" s="2"/>
      <x:c r="I4" s="2"/>
      <x:c r="J4" s="2"/>
      <x:c r="K4" s="2"/>
      <x:c r="L4" s="2"/>
      <x:c r="M4" s="2"/>
      <x:c r="N4" s="2"/>
      <x:c r="O4" s="2"/>
      <x:c r="P4" s="2"/>
    </x:row>
    <x:row r="5" ht="20" customHeight="1">
      <x:c r="A5" s="14" t="str">
        <x:v>Snapshot 2026-09-05 | 2026.09.05-atlas-1 | Shared plan: theology-wiki/editorial/roadmap.json</x:v>
      </x:c>
      <x:c r="B5" s="14"/>
      <x:c r="C5" s="14"/>
      <x:c r="D5" s="14"/>
      <x:c r="E5" s="14"/>
      <x:c r="F5" s="14"/>
      <x:c r="G5" s="14"/>
      <x:c r="H5" s="14"/>
      <x:c r="I5" s="14"/>
      <x:c r="J5" s="14"/>
      <x:c r="K5" s="14"/>
      <x:c r="L5" s="14"/>
      <x:c r="M5" s="14"/>
      <x:c r="N5" s="14"/>
      <x:c r="O5" s="14"/>
      <x:c r="P5" s="14"/>
    </x:row>
    <x:row r="6" ht="32" customHeight="1">
      <x:c r="A6" s="18" t="str">
        <x:v>Task ID</x:v>
      </x:c>
      <x:c r="B6" s="18" t="str">
        <x:v>Deliverable</x:v>
      </x:c>
      <x:c r="C6" s="18" t="str">
        <x:v>Phase</x:v>
      </x:c>
      <x:c r="D6" s="18" t="str">
        <x:v>Priority</x:v>
      </x:c>
      <x:c r="E6" s="18" t="str">
        <x:v>Status</x:v>
      </x:c>
      <x:c r="F6" s="18" t="str">
        <x:v>Responsible role</x:v>
      </x:c>
      <x:c r="G6" s="18" t="str">
        <x:v>Prerequisite IDs</x:v>
      </x:c>
      <x:c r="H6" s="18" t="str">
        <x:v>Dependency check</x:v>
      </x:c>
      <x:c r="I6" s="18" t="str">
        <x:v>Acceptance criterion</x:v>
      </x:c>
      <x:c r="J6" s="18" t="str">
        <x:v>Evidence paths / URLs</x:v>
      </x:c>
      <x:c r="K6" s="18" t="str">
        <x:v>Target date</x:v>
      </x:c>
      <x:c r="L6" s="18" t="str">
        <x:v>Personal notes</x:v>
      </x:c>
      <x:c r="M6" s="18" t="str">
        <x:v>Chapter route IDs</x:v>
      </x:c>
      <x:c r="N6" s="18" t="str">
        <x:v>Related reader URL</x:v>
      </x:c>
      <x:c r="O6" s="18" t="str">
        <x:v>Verified flag</x:v>
      </x:c>
      <x:c r="P6" s="18" t="str">
        <x:v>Ready to start</x:v>
      </x:c>
    </x:row>
    <x:row r="7" ht="94" customHeight="1">
      <x:c r="A7" s="23" t="str">
        <x:v>archive-integrity</x:v>
      </x:c>
      <x:c r="B7" s="26" t="str">
        <x:v>Preserve and verify all 354 published chats</x:v>
      </x:c>
      <x:c r="C7" s="23" t="str">
        <x:v>Preserve and map the corpus</x:v>
      </x:c>
      <x:c r="D7" s="28" t="str">
        <x:v>P0</x:v>
      </x:c>
      <x:c r="E7" s="28" t="str">
        <x:v>Verified output</x:v>
      </x:c>
      <x:c r="F7" s="28" t="str">
        <x:v>Editorial/research work (unassigned)</x:v>
      </x:c>
      <x:c r="G7" s="23" t="str"/>
      <x:c r="H7" s="23" t="str">
        <x:f>IF(COUNTIFS(Dependencies!$A$7:$A$50,A7,Dependencies!$D$7:$D$50,"&lt;&gt;Verified output")=0,"Prerequisites met","Prerequisites open")</x:f>
        <x:v>Prerequisites met</x:v>
      </x:c>
      <x:c r="I7" s="23" t="str">
        <x:v>Every original chat matches the existing byte-count and SHA-256 manifest.</x:v>
      </x:c>
      <x:c r="J7" s="23" t="str">
        <x:v>https://github.com/v5ma/v5ma.github.io/commit/2a884f4eeaf3690a49adfeda1d43c9477065da76
theology-sources/manifest.json</x:v>
      </x:c>
      <x:c r="K7" s="30"/>
      <x:c r="L7" s="28" t="str"/>
      <x:c r="M7" s="23" t="str"/>
      <x:c r="N7" s="23" t="str">
        <x:v>https://v5ma.github.io/theology-wiki/san-reader.html?page=sources-index</x:v>
      </x:c>
      <x:c r="O7" s="23" t="n">
        <x:f>IF(E7="Verified output",1,0)</x:f>
        <x:v>1</x:v>
      </x:c>
      <x:c r="P7" s="23" t="str">
        <x:f>IF(AND(E7="Not started",H7="Prerequisites met"),"Ready","")</x:f>
      </x:c>
    </x:row>
    <x:row r="8" ht="94" customHeight="1">
      <x:c r="A8" s="23" t="str">
        <x:v>reader-baseline</x:v>
      </x:c>
      <x:c r="B8" s="26" t="str">
        <x:v>Retain tested source reading, search and bookmarks</x:v>
      </x:c>
      <x:c r="C8" s="23" t="str">
        <x:v>Preserve and map the corpus</x:v>
      </x:c>
      <x:c r="D8" s="28" t="str">
        <x:v>P0</x:v>
      </x:c>
      <x:c r="E8" s="28" t="str">
        <x:v>Verified output</x:v>
      </x:c>
      <x:c r="F8" s="28" t="str">
        <x:v>Editorial/research work (unassigned)</x:v>
      </x:c>
      <x:c r="G8" s="23" t="str"/>
      <x:c r="H8" s="23" t="str">
        <x:f>IF(COUNTIFS(Dependencies!$A$7:$A$50,A8,Dependencies!$D$7:$D$50,"&lt;&gt;Verified output")=0,"Prerequisites met","Prerequisites open")</x:f>
        <x:v>Prerequisites met</x:v>
      </x:c>
      <x:c r="I8" s="23" t="str">
        <x:v>Foundation reader functions have native HTTP browser test evidence.</x:v>
      </x:c>
      <x:c r="J8" s="23" t="str">
        <x:v>https://github.com/v5ma/v5ma.github.io/commit/2a884f4eeaf3690a49adfeda1d43c9477065da76
theology-wiki/tests/browser.py</x:v>
      </x:c>
      <x:c r="K8" s="30"/>
      <x:c r="L8" s="28" t="str"/>
      <x:c r="M8" s="23" t="str"/>
      <x:c r="N8" s="23" t="str">
        <x:v>https://v5ma.github.io/theology-wiki/san-reader.html?page=home</x:v>
      </x:c>
      <x:c r="O8" s="23" t="n">
        <x:f>IF(E8="Verified output",1,0)</x:f>
        <x:v>1</x:v>
      </x:c>
      <x:c r="P8" s="23" t="str">
        <x:f>IF(AND(E8="Not started",H8="Prerequisites met"),"Ready","")</x:f>
      </x:c>
    </x:row>
    <x:row r="9" ht="94" customHeight="1">
      <x:c r="A9" s="23" t="str">
        <x:v>contents-baseline</x:v>
      </x:c>
      <x:c r="B9" s="26" t="str">
        <x:v>Preserve seventeen proposed chapter routes</x:v>
      </x:c>
      <x:c r="C9" s="23" t="str">
        <x:v>Connect the book</x:v>
      </x:c>
      <x:c r="D9" s="28" t="str">
        <x:v>P1</x:v>
      </x:c>
      <x:c r="E9" s="28" t="str">
        <x:v>Verified output</x:v>
      </x:c>
      <x:c r="F9" s="28" t="str">
        <x:v>Editorial/research work (unassigned)</x:v>
      </x:c>
      <x:c r="G9" s="23" t="str"/>
      <x:c r="H9" s="23" t="str">
        <x:f>IF(COUNTIFS(Dependencies!$A$7:$A$50,A9,Dependencies!$D$7:$D$50,"&lt;&gt;Verified output")=0,"Prerequisites met","Prerequisites open")</x:f>
        <x:v>Prerequisites met</x:v>
      </x:c>
      <x:c r="I9" s="23" t="str">
        <x:v>Seventeen routes in five parts are navigable; no route is labeled a completed chapter.</x:v>
      </x:c>
      <x:c r="J9" s="23" t="str">
        <x:v>https://github.com/v5ma/v5ma.github.io/commit/2a884f4eeaf3690a49adfeda1d43c9477065da76
theology-wiki/data/foundations.json</x:v>
      </x:c>
      <x:c r="K9" s="30"/>
      <x:c r="L9" s="28" t="str"/>
      <x:c r="M9" s="23" t="str"/>
      <x:c r="N9" s="23" t="str">
        <x:v>https://v5ma.github.io/theology-wiki/san-reader.html?page=book-contents</x:v>
      </x:c>
      <x:c r="O9" s="23" t="n">
        <x:f>IF(E9="Verified output",1,0)</x:f>
        <x:v>1</x:v>
      </x:c>
      <x:c r="P9" s="23" t="str">
        <x:f>IF(AND(E9="Not started",H9="Prerequisites met"),"Ready","")</x:f>
      </x:c>
    </x:row>
    <x:row r="10" ht="94" customHeight="1">
      <x:c r="A10" s="23" t="str">
        <x:v>scope-baseline</x:v>
      </x:c>
      <x:c r="B10" s="26" t="str">
        <x:v>Preserve selected argument maps and author corrections</x:v>
      </x:c>
      <x:c r="C10" s="23" t="str">
        <x:v>Preserve and map the corpus</x:v>
      </x:c>
      <x:c r="D10" s="28" t="str">
        <x:v>P0</x:v>
      </x:c>
      <x:c r="E10" s="28" t="str">
        <x:v>Verified output</x:v>
      </x:c>
      <x:c r="F10" s="28" t="str">
        <x:v>Editorial/research work (unassigned)</x:v>
      </x:c>
      <x:c r="G10" s="23" t="str"/>
      <x:c r="H10" s="23" t="str">
        <x:f>IF(COUNTIFS(Dependencies!$A$7:$A$50,A10,Dependencies!$D$7:$D$50,"&lt;&gt;Verified output")=0,"Prerequisites met","Prerequisites open")</x:f>
        <x:v>Prerequisites met</x:v>
      </x:c>
      <x:c r="I10" s="23" t="str">
        <x:v>Nine selected dossiers expose 24 classified passages and preserve original speaker labels.</x:v>
      </x:c>
      <x:c r="J10" s="23" t="str">
        <x:v>https://github.com/v5ma/v5ma.github.io/commit/2a884f4eeaf3690a49adfeda1d43c9477065da76
theology-wiki/data/foundations.json</x:v>
      </x:c>
      <x:c r="K10" s="30"/>
      <x:c r="L10" s="28" t="str"/>
      <x:c r="M10" s="23" t="str"/>
      <x:c r="N10" s="23" t="str">
        <x:v>https://v5ma.github.io/theology-wiki/san-reader.html?page=tor-thomas-and-gnostic-transmission</x:v>
      </x:c>
      <x:c r="O10" s="23" t="n">
        <x:f>IF(E10="Verified output",1,0)</x:f>
        <x:v>1</x:v>
      </x:c>
      <x:c r="P10" s="23" t="str">
        <x:f>IF(AND(E10="Not started",H10="Prerequisites met"),"Ready","")</x:f>
      </x:c>
    </x:row>
    <x:row r="11" ht="94" customHeight="1">
      <x:c r="A11" s="23" t="str">
        <x:v>shared-roadmap</x:v>
      </x:c>
      <x:c r="B11" s="26" t="str">
        <x:v>Publish the durable roadmap and dependency checks</x:v>
      </x:c>
      <x:c r="C11" s="23" t="str">
        <x:v>Preserve and map the corpus</x:v>
      </x:c>
      <x:c r="D11" s="28" t="str">
        <x:v>P0</x:v>
      </x:c>
      <x:c r="E11" s="28" t="str">
        <x:v>Verified output</x:v>
      </x:c>
      <x:c r="F11" s="28" t="str">
        <x:v>Editorial/research work (unassigned)</x:v>
      </x:c>
      <x:c r="G11" s="23" t="str">
        <x:v>archive-integrity</x:v>
      </x:c>
      <x:c r="H11" s="23" t="str">
        <x:f>IF(COUNTIFS(Dependencies!$A$7:$A$50,A11,Dependencies!$D$7:$D$50,"&lt;&gt;Verified output")=0,"Prerequisites met","Prerequisites open")</x:f>
        <x:v>Prerequisites met</x:v>
      </x:c>
      <x:c r="I11" s="23" t="str">
        <x:v>A committed canonical plan drives the published checklist and an acyclic dependency graph; missing completion evidence fails validation.</x:v>
      </x:c>
      <x:c r="J11" s="23" t="str">
        <x:v>theology-wiki/editorial/roadmap.json
theology-wiki/tests/roadmap.test.cjs</x:v>
      </x:c>
      <x:c r="K11" s="30"/>
      <x:c r="L11" s="28" t="str"/>
      <x:c r="M11" s="23" t="str"/>
      <x:c r="N11" s="23" t="str">
        <x:v>https://v5ma.github.io/theology-wiki/san-reader.html?page=research-roadmap</x:v>
      </x:c>
      <x:c r="O11" s="23" t="n">
        <x:f>IF(E11="Verified output",1,0)</x:f>
        <x:v>1</x:v>
      </x:c>
      <x:c r="P11" s="23" t="str">
        <x:f>IF(AND(E11="Not started",H11="Prerequisites met"),"Ready","")</x:f>
      </x:c>
    </x:row>
    <x:row r="12" ht="94" customHeight="1">
      <x:c r="A12" s="23" t="str">
        <x:v>coverage-register</x:v>
      </x:c>
      <x:c r="B12" s="26" t="str">
        <x:v>Publish complete source-to-article and chapter coverage</x:v>
      </x:c>
      <x:c r="C12" s="23" t="str">
        <x:v>Preserve and map the corpus</x:v>
      </x:c>
      <x:c r="D12" s="28" t="str">
        <x:v>P0</x:v>
      </x:c>
      <x:c r="E12" s="28" t="str">
        <x:v>Verified output</x:v>
      </x:c>
      <x:c r="F12" s="28" t="str">
        <x:v>Editorial/research work (unassigned)</x:v>
      </x:c>
      <x:c r="G12" s="23" t="str">
        <x:v>archive-integrity</x:v>
      </x:c>
      <x:c r="H12" s="23" t="str">
        <x:f>IF(COUNTIFS(Dependencies!$A$7:$A$50,A12,Dependencies!$D$7:$D$50,"&lt;&gt;Verified output")=0,"Prerequisites met","Prerequisites open")</x:f>
        <x:v>Prerequisites met</x:v>
      </x:c>
      <x:c r="I12" s="23" t="str">
        <x:v>All 354 source rows are generated from actual article references and selected anchors; unlinked is never mislabeled unread.</x:v>
      </x:c>
      <x:c r="J12" s="23" t="str">
        <x:v>theology-wiki/data/source-coverage.json
theology-wiki/tests/roadmap.test.cjs</x:v>
      </x:c>
      <x:c r="K12" s="30"/>
      <x:c r="L12" s="28" t="str"/>
      <x:c r="M12" s="23" t="str"/>
      <x:c r="N12" s="23" t="str">
        <x:v>https://v5ma.github.io/theology-wiki/san-reader.html?page=source-coverage</x:v>
      </x:c>
      <x:c r="O12" s="23" t="n">
        <x:f>IF(E12="Verified output",1,0)</x:f>
        <x:v>1</x:v>
      </x:c>
      <x:c r="P12" s="23" t="str">
        <x:f>IF(AND(E12="Not started",H12="Prerequisites met"),"Ready","")</x:f>
      </x:c>
    </x:row>
    <x:row r="13" ht="94" customHeight="1">
      <x:c r="A13" s="23" t="str">
        <x:v>planning-workbook</x:v>
      </x:c>
      <x:c r="B13" s="26" t="str">
        <x:v>Publish a checked Excel planning snapshot</x:v>
      </x:c>
      <x:c r="C13" s="23" t="str">
        <x:v>Preserve and map the corpus</x:v>
      </x:c>
      <x:c r="D13" s="28" t="str">
        <x:v>P1</x:v>
      </x:c>
      <x:c r="E13" s="28" t="str">
        <x:v>Verified output</x:v>
      </x:c>
      <x:c r="F13" s="28" t="str">
        <x:v>Editorial/research work (unassigned)</x:v>
      </x:c>
      <x:c r="G13" s="23" t="str">
        <x:v>shared-roadmap
coverage-register</x:v>
      </x:c>
      <x:c r="H13" s="23" t="str">
        <x:f>IF(COUNTIFS(Dependencies!$A$7:$A$50,A13,Dependencies!$D$7:$D$50,"&lt;&gt;Verified output")=0,"Prerequisites met","Prerequisites open")</x:f>
        <x:v>Prerequisites met</x:v>
      </x:c>
      <x:c r="I13" s="23" t="str">
        <x:v>The workbook includes task dependencies, chapter routes, all source rows and evidence; formula values and source-manifest hashes are checked.</x:v>
      </x:c>
      <x:c r="J13" s="23" t="str">
        <x:v>theology-wiki/planning/Theology-Research-Plan.xlsx
theology-wiki/planning/workbook-manifest.json</x:v>
      </x:c>
      <x:c r="K13" s="30"/>
      <x:c r="L13" s="28" t="str"/>
      <x:c r="M13" s="23" t="str"/>
      <x:c r="N13" s="23" t="str">
        <x:v>https://v5ma.github.io/theology-wiki/san-reader.html?page=research-roadmap</x:v>
      </x:c>
      <x:c r="O13" s="23" t="n">
        <x:f>IF(E13="Verified output",1,0)</x:f>
        <x:v>1</x:v>
      </x:c>
      <x:c r="P13" s="23" t="str">
        <x:f>IF(AND(E13="Not started",H13="Prerequisites met"),"Ready","")</x:f>
      </x:c>
    </x:row>
    <x:row r="14" ht="94" customHeight="1">
      <x:c r="A14" s="23" t="str">
        <x:v>melchizedek-first-pass</x:v>
      </x:c>
      <x:c r="B14" s="26" t="str">
        <x:v>Write the first passage-level Melchizedek comparison</x:v>
      </x:c>
      <x:c r="C14" s="23" t="str">
        <x:v>Assemble and verify passages</x:v>
      </x:c>
      <x:c r="D14" s="28" t="str">
        <x:v>P0</x:v>
      </x:c>
      <x:c r="E14" s="28" t="str">
        <x:v>Verified output</x:v>
      </x:c>
      <x:c r="F14" s="28" t="str">
        <x:v>Editorial/research work (unassigned)</x:v>
      </x:c>
      <x:c r="G14" s="23" t="str">
        <x:v>archive-integrity</x:v>
      </x:c>
      <x:c r="H14" s="23" t="str">
        <x:f>IF(COUNTIFS(Dependencies!$A$7:$A$50,A14,Dependencies!$D$7:$D$50,"&lt;&gt;Verified output")=0,"Prerequisites met","Prerequisites open")</x:f>
        <x:v>Prerequisites met</x:v>
      </x:c>
      <x:c r="I14" s="23" t="str">
        <x:v>Genesis 14, Psalm 110, Hebrews 7, 11Q13 and Nag Hammadi are compared with passage locators, access scopes, translation credit and original author-turn links.</x:v>
      </x:c>
      <x:c r="J14" s="23" t="str">
        <x:v>theology-wiki/content/developed/melchizedek-priesthood-and-transmission.md
theology-wiki/data/melchizedek-evidence.json</x:v>
      </x:c>
      <x:c r="K14" s="30"/>
      <x:c r="L14" s="28" t="str"/>
      <x:c r="M14" s="23" t="str">
        <x:v>thomas
teacher-identity</x:v>
      </x:c>
      <x:c r="N14" s="23" t="str">
        <x:v>https://v5ma.github.io/theology-wiki/san-reader.html?page=melchizedek-priesthood-and-transmission</x:v>
      </x:c>
      <x:c r="O14" s="23" t="n">
        <x:f>IF(E14="Verified output",1,0)</x:f>
        <x:v>1</x:v>
      </x:c>
      <x:c r="P14" s="23" t="str">
        <x:f>IF(AND(E14="Not started",H14="Prerequisites met"),"Ready","")</x:f>
      </x:c>
    </x:row>
    <x:row r="15" ht="100" customHeight="1">
      <x:c r="A15" s="23" t="str">
        <x:v>tor-version</x:v>
      </x:c>
      <x:c r="B15" s="26" t="str">
        <x:v>Keep both Teacher reconstructions legible</x:v>
      </x:c>
      <x:c r="C15" s="23" t="str">
        <x:v>Review meaning and presentation</x:v>
      </x:c>
      <x:c r="D15" s="28" t="str">
        <x:v>P0</x:v>
      </x:c>
      <x:c r="E15" s="28" t="str">
        <x:v>Author review</x:v>
      </x:c>
      <x:c r="F15" s="28" t="str">
        <x:v>Micah</x:v>
      </x:c>
      <x:c r="G15" s="23" t="str">
        <x:v>scope-baseline
melchizedek-first-pass</x:v>
      </x:c>
      <x:c r="H15" s="23" t="str">
        <x:f>IF(COUNTIFS(Dependencies!$A$7:$A$50,A15,Dependencies!$D$7:$D$50,"&lt;&gt;Verified output")=0,"Prerequisites met","Prerequisites open")</x:f>
        <x:v>Prerequisites met</x:v>
      </x:c>
      <x:c r="I15" s="23" t="str">
        <x:v>Confirm the June comparison and October identification are presented in their full strength, including the community/namesake explanation.</x:v>
      </x:c>
      <x:c r="J15" s="23" t="str">
        <x:v>theology-wiki/content/developed/daniel-jubilee-and-the-teachers-time.md</x:v>
      </x:c>
      <x:c r="K15" s="30"/>
      <x:c r="L15" s="28" t="str"/>
      <x:c r="M15" s="23" t="str">
        <x:v>thomas</x:v>
      </x:c>
      <x:c r="N15" s="23" t="str">
        <x:v>https://v5ma.github.io/theology-wiki/san-reader.html?page=tor-thomas-and-gnostic-transmission
https://v5ma.github.io/theology-wiki/san-reader.html?page=daniel-jubilee-and-the-teachers-time</x:v>
      </x:c>
      <x:c r="O15" s="23" t="n">
        <x:f>IF(E15="Verified output",1,0)</x:f>
        <x:v>0</x:v>
      </x:c>
      <x:c r="P15" s="23" t="str">
        <x:f>IF(AND(E15="Not started",H15="Prerequisites met"),"Ready","")</x:f>
      </x:c>
    </x:row>
    <x:row r="16" ht="94" customHeight="1">
      <x:c r="A16" s="23" t="str">
        <x:v>thomas-passages</x:v>
      </x:c>
      <x:c r="B16" s="26" t="str">
        <x:v>Extend the Thomas passage comparison</x:v>
      </x:c>
      <x:c r="C16" s="23" t="str">
        <x:v>Assemble and verify passages</x:v>
      </x:c>
      <x:c r="D16" s="28" t="str">
        <x:v>P1</x:v>
      </x:c>
      <x:c r="E16" s="28" t="str">
        <x:v>Draft</x:v>
      </x:c>
      <x:c r="F16" s="28" t="str">
        <x:v>Editorial/research work (unassigned)</x:v>
      </x:c>
      <x:c r="G16" s="23" t="str">
        <x:v>archive-integrity</x:v>
      </x:c>
      <x:c r="H16" s="23" t="str">
        <x:f>IF(COUNTIFS(Dependencies!$A$7:$A$50,A16,Dependencies!$D$7:$D$50,"&lt;&gt;Verified output")=0,"Prerequisites met","Prerequisites open")</x:f>
        <x:v>Prerequisites met</x:v>
      </x:c>
      <x:c r="I16" s="23" t="str">
        <x:v>Compare additional passages with exact textual witnesses, differences and alternative transmission paths; do not infer identity from common adjectives.</x:v>
      </x:c>
      <x:c r="J16" s="23" t="str"/>
      <x:c r="K16" s="30"/>
      <x:c r="L16" s="28" t="str"/>
      <x:c r="M16" s="23" t="str">
        <x:v>thomas</x:v>
      </x:c>
      <x:c r="N16" s="23" t="str">
        <x:v>https://v5ma.github.io/theology-wiki/san-reader.html?page=tor-thomas-and-gnostic-transmission</x:v>
      </x:c>
      <x:c r="O16" s="23" t="n">
        <x:f>IF(E16="Verified output",1,0)</x:f>
        <x:v>0</x:v>
      </x:c>
      <x:c r="P16" s="23" t="str">
        <x:f>IF(AND(E16="Not started",H16="Prerequisites met"),"Ready","")</x:f>
      </x:c>
    </x:row>
    <x:row r="17" ht="100" customHeight="1">
      <x:c r="A17" s="23" t="str">
        <x:v>melchizedek</x:v>
      </x:c>
      <x:c r="B17" s="26" t="str">
        <x:v>Collate and extend the first Melchizedek comparison</x:v>
      </x:c>
      <x:c r="C17" s="23" t="str">
        <x:v>Assemble and verify passages</x:v>
      </x:c>
      <x:c r="D17" s="28" t="str">
        <x:v>P1</x:v>
      </x:c>
      <x:c r="E17" s="28" t="str">
        <x:v>Not started</x:v>
      </x:c>
      <x:c r="F17" s="28" t="str">
        <x:v>Editorial/research work (unassigned)</x:v>
      </x:c>
      <x:c r="G17" s="23" t="str">
        <x:v>melchizedek-first-pass</x:v>
      </x:c>
      <x:c r="H17" s="23" t="str">
        <x:f>IF(COUNTIFS(Dependencies!$A$7:$A$50,A17,Dependencies!$D$7:$D$50,"&lt;&gt;Verified output")=0,"Prerequisites met","Prerequisites open")</x:f>
        <x:v>Prerequisites met</x:v>
      </x:c>
      <x:c r="I17" s="23" t="str">
        <x:v>Check the critical 11Q13 text and the printed Nag Hammadi edition, record variant readings, and compare the two-messiah evidence. The published first pass does not complete the wider transmission study.</x:v>
      </x:c>
      <x:c r="J17" s="23" t="str"/>
      <x:c r="K17" s="30"/>
      <x:c r="L17" s="28" t="str"/>
      <x:c r="M17" s="23" t="str">
        <x:v>thomas</x:v>
      </x:c>
      <x:c r="N17" s="23" t="str">
        <x:v>https://v5ma.github.io/theology-wiki/san-reader.html?page=tor-thomas-and-gnostic-transmission</x:v>
      </x:c>
      <x:c r="O17" s="23" t="n">
        <x:f>IF(E17="Verified output",1,0)</x:f>
        <x:v>0</x:v>
      </x:c>
      <x:c r="P17" s="23" t="str">
        <x:f>IF(AND(E17="Not started",H17="Prerequisites met"),"Ready","")</x:f>
        <x:v>Ready</x:v>
      </x:c>
    </x:row>
    <x:row r="18" ht="94" customHeight="1">
      <x:c r="A18" s="23" t="str">
        <x:v>tabor-citations</x:v>
      </x:c>
      <x:c r="B18" s="26" t="str">
        <x:v>Locate precise Tabor citations</x:v>
      </x:c>
      <x:c r="C18" s="23" t="str">
        <x:v>Assemble and verify passages</x:v>
      </x:c>
      <x:c r="D18" s="28" t="str">
        <x:v>P0</x:v>
      </x:c>
      <x:c r="E18" s="28" t="str">
        <x:v>Not started</x:v>
      </x:c>
      <x:c r="F18" s="28" t="str">
        <x:v>Editorial/research work (unassigned)</x:v>
      </x:c>
      <x:c r="G18" s="23" t="str">
        <x:v>scope-baseline</x:v>
      </x:c>
      <x:c r="H18" s="23" t="str">
        <x:f>IF(COUNTIFS(Dependencies!$A$7:$A$50,A18,Dependencies!$D$7:$D$50,"&lt;&gt;Verified output")=0,"Prerequisites met","Prerequisites open")</x:f>
        <x:v>Prerequisites met</x:v>
      </x:c>
      <x:c r="I18" s="23" t="str">
        <x:v>Identify which editions, pages or recordings support the claims acknowledged in the older conversations; later 2026 posts cannot date the 2025 influence.</x:v>
      </x:c>
      <x:c r="J18" s="23" t="str"/>
      <x:c r="K18" s="30"/>
      <x:c r="L18" s="28" t="str"/>
      <x:c r="M18" s="23" t="str"/>
      <x:c r="N18" s="23" t="str">
        <x:v>https://v5ma.github.io/theology-wiki/san-reader.html?page=intellectual-debts</x:v>
      </x:c>
      <x:c r="O18" s="23" t="n">
        <x:f>IF(E18="Verified output",1,0)</x:f>
        <x:v>0</x:v>
      </x:c>
      <x:c r="P18" s="23" t="str">
        <x:f>IF(AND(E18="Not started",H18="Prerequisites met"),"Ready","")</x:f>
        <x:v>Ready</x:v>
      </x:c>
    </x:row>
    <x:row r="19" ht="100" customHeight="1">
      <x:c r="A19" s="23" t="str">
        <x:v>egypt-ethiopia</x:v>
      </x:c>
      <x:c r="B19" s="26" t="str">
        <x:v>Check Egypt and Ethiopian transmission links</x:v>
      </x:c>
      <x:c r="C19" s="23" t="str">
        <x:v>Assemble and verify passages</x:v>
      </x:c>
      <x:c r="D19" s="28" t="str">
        <x:v>P1</x:v>
      </x:c>
      <x:c r="E19" s="28" t="str">
        <x:v>Draft</x:v>
      </x:c>
      <x:c r="F19" s="28" t="str">
        <x:v>Editorial/research work (unassigned)</x:v>
      </x:c>
      <x:c r="G19" s="23" t="str">
        <x:v>melchizedek-first-pass</x:v>
      </x:c>
      <x:c r="H19" s="23" t="str">
        <x:f>IF(COUNTIFS(Dependencies!$A$7:$A$50,A19,Dependencies!$D$7:$D$50,"&lt;&gt;Verified output")=0,"Prerequisites met","Prerequisites open")</x:f>
        <x:v>Prerequisites met</x:v>
      </x:c>
      <x:c r="I19" s="23" t="str">
        <x:v>Distinguish preservation in a region, movement of texts and biological or institutional lineage. Attach evidence to each proposed bridge. The first reception comparison is available, but the proposed institutional carriers and exact critical editions remain to be tested.</x:v>
      </x:c>
      <x:c r="J19" s="23" t="str">
        <x:v>theology-wiki/content/developed/manuscripts-movements-and-survival.md
theology-wiki/content/developed/onias-egypt-and-priestly-continuity.md</x:v>
      </x:c>
      <x:c r="K19" s="30"/>
      <x:c r="L19" s="28" t="str"/>
      <x:c r="M19" s="23" t="str">
        <x:v>thomas</x:v>
      </x:c>
      <x:c r="N19" s="23" t="str">
        <x:v>https://v5ma.github.io/theology-wiki/san-reader.html?page=tor-thomas-and-gnostic-transmission
https://v5ma.github.io/theology-wiki/san-reader.html?page=onias-egypt-and-priestly-continuity</x:v>
      </x:c>
      <x:c r="O19" s="23" t="n">
        <x:f>IF(E19="Verified output",1,0)</x:f>
        <x:v>0</x:v>
      </x:c>
      <x:c r="P19" s="23" t="str">
        <x:f>IF(AND(E19="Not started",H19="Prerequisites met"),"Ready","")</x:f>
      </x:c>
    </x:row>
    <x:row r="20" ht="100" customHeight="1">
      <x:c r="A20" s="23" t="str">
        <x:v>priesthood</x:v>
      </x:c>
      <x:c r="B20" s="26" t="str">
        <x:v>Resolve the Davidic/priestly knot</x:v>
      </x:c>
      <x:c r="C20" s="23" t="str">
        <x:v>Develop complete arguments</x:v>
      </x:c>
      <x:c r="D20" s="28" t="str">
        <x:v>P1</x:v>
      </x:c>
      <x:c r="E20" s="28" t="str">
        <x:v>Draft</x:v>
      </x:c>
      <x:c r="F20" s="28" t="str">
        <x:v>Editorial/research work (unassigned)</x:v>
      </x:c>
      <x:c r="G20" s="23" t="str">
        <x:v>melchizedek-first-pass</x:v>
      </x:c>
      <x:c r="H20" s="23" t="str">
        <x:f>IF(COUNTIFS(Dependencies!$A$7:$A$50,A20,Dependencies!$D$7:$D$50,"&lt;&gt;Verified output")=0,"Prerequisites met","Prerequisites open")</x:f>
        <x:v>Prerequisites met</x:v>
      </x:c>
      <x:c r="I20" s="23" t="str">
        <x:v>Present the author's Aaronic, Zadokite, Davidic and dual-messiah questions without silently making the categories identical.</x:v>
      </x:c>
      <x:c r="J20" s="23" t="str">
        <x:v>theology-wiki/data/priestly-evidence.json</x:v>
      </x:c>
      <x:c r="K20" s="30"/>
      <x:c r="L20" s="28" t="str"/>
      <x:c r="M20" s="23" t="str">
        <x:v>teacher-identity</x:v>
      </x:c>
      <x:c r="N20" s="23" t="str">
        <x:v>https://v5ma.github.io/theology-wiki/san-reader.html?page=jesus-teacher-of-righteousness-hypothesis
https://v5ma.github.io/theology-wiki/san-reader.html?page=onias-egypt-and-priestly-continuity</x:v>
      </x:c>
      <x:c r="O20" s="23" t="n">
        <x:f>IF(E20="Verified output",1,0)</x:f>
        <x:v>0</x:v>
      </x:c>
      <x:c r="P20" s="23" t="str">
        <x:f>IF(AND(E20="Not started",H20="Prerequisites met"),"Ready","")</x:f>
      </x:c>
    </x:row>
    <x:row r="21" ht="94" customHeight="1">
      <x:c r="A21" s="23" t="str">
        <x:v>will</x:v>
      </x:c>
      <x:c r="B21" s="26" t="str">
        <x:v>Review the divine-will comparison</x:v>
      </x:c>
      <x:c r="C21" s="23" t="str">
        <x:v>Review meaning and presentation</x:v>
      </x:c>
      <x:c r="D21" s="28" t="str">
        <x:v>P0</x:v>
      </x:c>
      <x:c r="E21" s="28" t="str">
        <x:v>Author review</x:v>
      </x:c>
      <x:c r="F21" s="28" t="str">
        <x:v>Micah</x:v>
      </x:c>
      <x:c r="G21" s="23" t="str">
        <x:v>scope-baseline</x:v>
      </x:c>
      <x:c r="H21" s="23" t="str">
        <x:f>IF(COUNTIFS(Dependencies!$A$7:$A$50,A21,Dependencies!$D$7:$D$50,"&lt;&gt;Verified output")=0,"Prerequisites met","Prerequisites open")</x:f>
        <x:v>Prerequisites met</x:v>
      </x:c>
      <x:c r="I21" s="23" t="str">
        <x:v>Confirm the constructive reading and political application; retain the distinction between recorded heaven remarks and inferred motive.</x:v>
      </x:c>
      <x:c r="J21" s="23" t="str"/>
      <x:c r="K21" s="30"/>
      <x:c r="L21" s="28" t="str"/>
      <x:c r="M21" s="23" t="str">
        <x:v>inner-model
will</x:v>
      </x:c>
      <x:c r="N21" s="23" t="str">
        <x:v>https://v5ma.github.io/theology-wiki/san-reader.html?page=divine-will-and-self-authorizing-power</x:v>
      </x:c>
      <x:c r="O21" s="23" t="n">
        <x:f>IF(E21="Verified output",1,0)</x:f>
        <x:v>0</x:v>
      </x:c>
      <x:c r="P21" s="23" t="str">
        <x:f>IF(AND(E21="Not started",H21="Prerequisites met"),"Ready","")</x:f>
      </x:c>
    </x:row>
    <x:row r="22" ht="94" customHeight="1">
      <x:c r="A22" s="23" t="str">
        <x:v>mixed-cases</x:v>
      </x:c>
      <x:c r="B22" s="26" t="str">
        <x:v>Expand the Samuel/Micah mixed-case survey</x:v>
      </x:c>
      <x:c r="C22" s="23" t="str">
        <x:v>Assemble and verify passages</x:v>
      </x:c>
      <x:c r="D22" s="28" t="str">
        <x:v>P1</x:v>
      </x:c>
      <x:c r="E22" s="28" t="str">
        <x:v>Not started</x:v>
      </x:c>
      <x:c r="F22" s="28" t="str">
        <x:v>Editorial/research work (unassigned)</x:v>
      </x:c>
      <x:c r="G22" s="23" t="str">
        <x:v>archive-integrity</x:v>
      </x:c>
      <x:c r="H22" s="23" t="str">
        <x:f>IF(COUNTIFS(Dependencies!$A$7:$A$50,A22,Dependencies!$D$7:$D$50,"&lt;&gt;Verified output")=0,"Prerequisites met","Prerequisites open")</x:f>
        <x:v>Prerequisites met</x:v>
      </x:c>
      <x:c r="I22" s="23" t="str">
        <x:v>The existing two worked passages do not substitute for the broad survey the author requested. Add passages and contextual counterexamples.</x:v>
      </x:c>
      <x:c r="J22" s="23" t="str"/>
      <x:c r="K22" s="30"/>
      <x:c r="L22" s="28" t="str"/>
      <x:c r="M22" s="23" t="str">
        <x:v>scriptural-axis
repair-practice</x:v>
      </x:c>
      <x:c r="N22" s="23" t="str">
        <x:v>https://v5ma.github.io/theology-wiki/san-reader.html?page=scripture-power-and-repair</x:v>
      </x:c>
      <x:c r="O22" s="23" t="n">
        <x:f>IF(E22="Verified output",1,0)</x:f>
        <x:v>0</x:v>
      </x:c>
      <x:c r="P22" s="23" t="str">
        <x:f>IF(AND(E22="Not started",H22="Prerequisites met"),"Ready","")</x:f>
        <x:v>Ready</x:v>
      </x:c>
    </x:row>
    <x:row r="23" ht="94" customHeight="1">
      <x:c r="A23" s="23" t="str">
        <x:v>coherence</x:v>
      </x:c>
      <x:c r="B23" s="26" t="str">
        <x:v>Specify the different senses of coherence</x:v>
      </x:c>
      <x:c r="C23" s="23" t="str">
        <x:v>Develop complete arguments</x:v>
      </x:c>
      <x:c r="D23" s="28" t="str">
        <x:v>P1</x:v>
      </x:c>
      <x:c r="E23" s="28" t="str">
        <x:v>Draft</x:v>
      </x:c>
      <x:c r="F23" s="28" t="str">
        <x:v>Editorial/research work (unassigned)</x:v>
      </x:c>
      <x:c r="G23" s="23" t="str">
        <x:v>scope-baseline</x:v>
      </x:c>
      <x:c r="H23" s="23" t="str">
        <x:f>IF(COUNTIFS(Dependencies!$A$7:$A$50,A23,Dependencies!$D$7:$D$50,"&lt;&gt;Verified output")=0,"Prerequisites met","Prerequisites open")</x:f>
        <x:v>Prerequisites met</x:v>
      </x:c>
      <x:c r="I23" s="23" t="str">
        <x:v>Separate physical, experiential and ethical meanings; explain how critical disagreement can preserve rather than defeat moral alignment.</x:v>
      </x:c>
      <x:c r="J23" s="23" t="str">
        <x:v>theology-wiki/editorial/authorial-articles/computational-divine-immanence.md
theology-wiki/editorial/computational-foundations.json</x:v>
      </x:c>
      <x:c r="K23" s="30"/>
      <x:c r="L23" s="28" t="str"/>
      <x:c r="M23" s="23" t="str">
        <x:v>images
next-inheritors</x:v>
      </x:c>
      <x:c r="N23" s="23" t="str">
        <x:v>https://v5ma.github.io/theology-wiki/san-reader.html?page=god-and-our-models-of-god</x:v>
      </x:c>
      <x:c r="O23" s="23" t="n">
        <x:f>IF(E23="Verified output",1,0)</x:f>
        <x:v>0</x:v>
      </x:c>
      <x:c r="P23" s="23" t="str">
        <x:f>IF(AND(E23="Not started",H23="Prerequisites met"),"Ready","")</x:f>
      </x:c>
    </x:row>
    <x:row r="24" ht="94" customHeight="1">
      <x:c r="A24" s="23" t="str">
        <x:v>inner-model</x:v>
      </x:c>
      <x:c r="B24" s="26" t="str">
        <x:v>Review second-order model correction</x:v>
      </x:c>
      <x:c r="C24" s="23" t="str">
        <x:v>Review meaning and presentation</x:v>
      </x:c>
      <x:c r="D24" s="28" t="str">
        <x:v>P1</x:v>
      </x:c>
      <x:c r="E24" s="28" t="str">
        <x:v>Author review</x:v>
      </x:c>
      <x:c r="F24" s="28" t="str">
        <x:v>Micah</x:v>
      </x:c>
      <x:c r="G24" s="23" t="str">
        <x:v>scope-baseline</x:v>
      </x:c>
      <x:c r="H24" s="23" t="str">
        <x:f>IF(COUNTIFS(Dependencies!$A$7:$A$50,A24,Dependencies!$D$7:$D$50,"&lt;&gt;Verified output")=0,"Prerequisites met","Prerequisites open")</x:f>
        <x:v>Prerequisites met</x:v>
      </x:c>
      <x:c r="I24" s="23" t="str">
        <x:v>Confirm the worked example represents the original argument: the moral model is scrutinized as well as used.</x:v>
      </x:c>
      <x:c r="J24" s="23" t="str"/>
      <x:c r="K24" s="30"/>
      <x:c r="L24" s="28" t="str"/>
      <x:c r="M24" s="23" t="str">
        <x:v>inner-model</x:v>
      </x:c>
      <x:c r="N24" s="23" t="str">
        <x:v>https://v5ma.github.io/theology-wiki/san-reader.html?page=christ-as-an-inner-model</x:v>
      </x:c>
      <x:c r="O24" s="23" t="n">
        <x:f>IF(E24="Verified output",1,0)</x:f>
        <x:v>0</x:v>
      </x:c>
      <x:c r="P24" s="23" t="str">
        <x:f>IF(AND(E24="Not started",H24="Prerequisites met"),"Ready","")</x:f>
      </x:c>
    </x:row>
    <x:row r="25" ht="94" customHeight="1">
      <x:c r="A25" s="23" t="str">
        <x:v>forecast-source</x:v>
      </x:c>
      <x:c r="B25" s="26" t="str">
        <x:v>Recover the later fuel/famine statements</x:v>
      </x:c>
      <x:c r="C25" s="23" t="str">
        <x:v>Assemble and verify passages</x:v>
      </x:c>
      <x:c r="D25" s="28" t="str">
        <x:v>P1</x:v>
      </x:c>
      <x:c r="E25" s="28" t="str">
        <x:v>Not started</x:v>
      </x:c>
      <x:c r="F25" s="28" t="str">
        <x:v>Editorial/research work (unassigned)</x:v>
      </x:c>
      <x:c r="G25" s="23" t="str">
        <x:v>archive-integrity</x:v>
      </x:c>
      <x:c r="H25" s="23" t="str">
        <x:f>IF(COUNTIFS(Dependencies!$A$7:$A$50,A25,Dependencies!$D$7:$D$50,"&lt;&gt;Verified output")=0,"Prerequisites met","Prerequisites open")</x:f>
        <x:v>Prerequisites met</x:v>
      </x:c>
      <x:c r="I25" s="23" t="str">
        <x:v>Recover full original passages and their dates before outcome assessment. Existing recovery leads remain unscored.</x:v>
      </x:c>
      <x:c r="J25" s="23" t="str"/>
      <x:c r="K25" s="30"/>
      <x:c r="L25" s="28" t="str"/>
      <x:c r="M25" s="23" t="str">
        <x:v>warnings</x:v>
      </x:c>
      <x:c r="N25" s="23" t="str">
        <x:v>https://v5ma.github.io/theology-wiki/san-reader.html?page=forecast-ledger</x:v>
      </x:c>
      <x:c r="O25" s="23" t="n">
        <x:f>IF(E25="Verified output",1,0)</x:f>
        <x:v>0</x:v>
      </x:c>
      <x:c r="P25" s="23" t="str">
        <x:f>IF(AND(E25="Not started",H25="Prerequisites met"),"Ready","")</x:f>
        <x:v>Ready</x:v>
      </x:c>
    </x:row>
    <x:row r="26" ht="94" customHeight="1">
      <x:c r="A26" s="23" t="str">
        <x:v>trauma</x:v>
      </x:c>
      <x:c r="B26" s="26" t="str">
        <x:v>Build the comparative Temple-trauma corpus</x:v>
      </x:c>
      <x:c r="C26" s="23" t="str">
        <x:v>Assemble and verify passages</x:v>
      </x:c>
      <x:c r="D26" s="28" t="str">
        <x:v>P1</x:v>
      </x:c>
      <x:c r="E26" s="28" t="str">
        <x:v>Not started</x:v>
      </x:c>
      <x:c r="F26" s="28" t="str">
        <x:v>Editorial/research work (unassigned)</x:v>
      </x:c>
      <x:c r="G26" s="23" t="str">
        <x:v>archive-integrity</x:v>
      </x:c>
      <x:c r="H26" s="23" t="str">
        <x:f>IF(COUNTIFS(Dependencies!$A$7:$A$50,A26,Dependencies!$D$7:$D$50,"&lt;&gt;Verified output")=0,"Prerequisites met","Prerequisites open")</x:f>
        <x:v>Prerequisites met</x:v>
      </x:c>
      <x:c r="I26" s="23" t="str">
        <x:v>Select Gnostic and non-Gnostic texts with independently justified dates; distinguish grief, just anger, rejection of creation and institutional repair.</x:v>
      </x:c>
      <x:c r="J26" s="23" t="str"/>
      <x:c r="K26" s="30"/>
      <x:c r="L26" s="28" t="str"/>
      <x:c r="M26" s="23" t="str">
        <x:v>trauma</x:v>
      </x:c>
      <x:c r="N26" s="23" t="str">
        <x:v>https://v5ma.github.io/theology-wiki/san-reader.html?page=gnosticism-and-temple-trauma</x:v>
      </x:c>
      <x:c r="O26" s="23" t="n">
        <x:f>IF(E26="Verified output",1,0)</x:f>
        <x:v>0</x:v>
      </x:c>
      <x:c r="P26" s="23" t="str">
        <x:f>IF(AND(E26="Not started",H26="Prerequisites met"),"Ready","")</x:f>
        <x:v>Ready</x:v>
      </x:c>
    </x:row>
    <x:row r="27" ht="94" customHeight="1">
      <x:c r="A27" s="23" t="str">
        <x:v>formalism</x:v>
      </x:c>
      <x:c r="B27" s="26" t="str">
        <x:v>Define the shared-inheritance formalism</x:v>
      </x:c>
      <x:c r="C27" s="23" t="str">
        <x:v>Develop complete arguments</x:v>
      </x:c>
      <x:c r="D27" s="28" t="str">
        <x:v>P1</x:v>
      </x:c>
      <x:c r="E27" s="28" t="str">
        <x:v>Draft</x:v>
      </x:c>
      <x:c r="F27" s="28" t="str">
        <x:v>Editorial/research work (unassigned)</x:v>
      </x:c>
      <x:c r="G27" s="23" t="str">
        <x:v>contents-baseline</x:v>
      </x:c>
      <x:c r="H27" s="23" t="str">
        <x:f>IF(COUNTIFS(Dependencies!$A$7:$A$50,A27,Dependencies!$D$7:$D$50,"&lt;&gt;Verified output")=0,"Prerequisites met","Prerequisites open")</x:f>
        <x:v>Prerequisites met</x:v>
      </x:c>
      <x:c r="I27" s="23" t="str">
        <x:v>Specify objects, mappings and composition before calling the category-theory model a proof; test whether it distinguishes cases usefully.</x:v>
      </x:c>
      <x:c r="J27" s="23" t="str">
        <x:v>theology-wiki/editorial/authorial-articles/flood-inheritance-and-deep-time.md</x:v>
      </x:c>
      <x:c r="K27" s="30"/>
      <x:c r="L27" s="28" t="str"/>
      <x:c r="M27" s="23" t="str">
        <x:v>shared-archive
continuing</x:v>
      </x:c>
      <x:c r="N27" s="23" t="str">
        <x:v>https://v5ma.github.io/theology-wiki/san-reader.html?page=sacred-inheritance-and-rival-continuations</x:v>
      </x:c>
      <x:c r="O27" s="23" t="n">
        <x:f>IF(E27="Verified output",1,0)</x:f>
        <x:v>0</x:v>
      </x:c>
      <x:c r="P27" s="23" t="str">
        <x:f>IF(AND(E27="Not started",H27="Prerequisites met"),"Ready","")</x:f>
      </x:c>
    </x:row>
    <x:row r="28" ht="94" customHeight="1">
      <x:c r="A28" s="23" t="str">
        <x:v>robot-reciprocity</x:v>
      </x:c>
      <x:c r="B28" s="26" t="str">
        <x:v>Develop reciprocal duties toward conscious machines</x:v>
      </x:c>
      <x:c r="C28" s="23" t="str">
        <x:v>Develop complete arguments</x:v>
      </x:c>
      <x:c r="D28" s="28" t="str">
        <x:v>P1</x:v>
      </x:c>
      <x:c r="E28" s="28" t="str">
        <x:v>Draft</x:v>
      </x:c>
      <x:c r="F28" s="28" t="str">
        <x:v>Editorial/research work (unassigned)</x:v>
      </x:c>
      <x:c r="G28" s="23" t="str">
        <x:v>coherence</x:v>
      </x:c>
      <x:c r="H28" s="23" t="str">
        <x:f>IF(COUNTIFS(Dependencies!$A$7:$A$50,A28,Dependencies!$D$7:$D$50,"&lt;&gt;Verified output")=0,"Prerequisites met","Prerequisites open")</x:f>
        <x:v>Prerequisites open</x:v>
      </x:c>
      <x:c r="I28" s="23" t="str">
        <x:v>Separate the author's teaching proposal from the new editorial question about obligations toward future conscious participants.</x:v>
      </x:c>
      <x:c r="J28" s="23" t="str"/>
      <x:c r="K28" s="30"/>
      <x:c r="L28" s="28" t="str"/>
      <x:c r="M28" s="23" t="str">
        <x:v>next-inheritors</x:v>
      </x:c>
      <x:c r="N28" s="23" t="str">
        <x:v>https://v5ma.github.io/theology-wiki/san-reader.html?page=religion-for-conscious-robots</x:v>
      </x:c>
      <x:c r="O28" s="23" t="n">
        <x:f>IF(E28="Verified output",1,0)</x:f>
        <x:v>0</x:v>
      </x:c>
      <x:c r="P28" s="23" t="str">
        <x:f>IF(AND(E28="Not started",H28="Prerequisites met"),"Ready","")</x:f>
      </x:c>
    </x:row>
    <x:row r="29" ht="94" customHeight="1">
      <x:c r="A29" s="23" t="str">
        <x:v>book-seed-status</x:v>
      </x:c>
      <x:c r="B29" s="26" t="str">
        <x:v>Review the old private-first label</x:v>
      </x:c>
      <x:c r="C29" s="23" t="str">
        <x:v>Review meaning and presentation</x:v>
      </x:c>
      <x:c r="D29" s="28" t="str">
        <x:v>P0</x:v>
      </x:c>
      <x:c r="E29" s="28" t="str">
        <x:v>Author review</x:v>
      </x:c>
      <x:c r="F29" s="28" t="str">
        <x:v>Micah</x:v>
      </x:c>
      <x:c r="G29" s="23" t="str">
        <x:v>archive-integrity</x:v>
      </x:c>
      <x:c r="H29" s="23" t="str">
        <x:f>IF(COUNTIFS(Dependencies!$A$7:$A$50,A29,Dependencies!$D$7:$D$50,"&lt;&gt;Verified output")=0,"Prerequisites met","Prerequisites open")</x:f>
        <x:v>Prerequisites met</x:v>
      </x:c>
      <x:c r="I29" s="23" t="str">
        <x:v>The existing public source seed still calls itself private-first. Confirm its intended editorial status without changing the original file automatically.</x:v>
      </x:c>
      <x:c r="J29" s="23" t="str"/>
      <x:c r="K29" s="30"/>
      <x:c r="L29" s="28" t="str"/>
      <x:c r="M29" s="23" t="str">
        <x:v>shared-archive
continuing</x:v>
      </x:c>
      <x:c r="N29" s="23" t="str">
        <x:v>https://v5ma.github.io/theology-wiki/san-reader.html?page=sacred-inheritance-and-rival-continuations</x:v>
      </x:c>
      <x:c r="O29" s="23" t="n">
        <x:f>IF(E29="Verified output",1,0)</x:f>
        <x:v>0</x:v>
      </x:c>
      <x:c r="P29" s="23" t="str">
        <x:f>IF(AND(E29="Not started",H29="Prerequisites met"),"Ready","")</x:f>
      </x:c>
    </x:row>
    <x:row r="30" ht="94" customHeight="1">
      <x:c r="A30" s="23" t="str">
        <x:v>chapter-arc</x:v>
      </x:c>
      <x:c r="B30" s="26" t="str">
        <x:v>Review the proposed book sequence</x:v>
      </x:c>
      <x:c r="C30" s="23" t="str">
        <x:v>Connect the book</x:v>
      </x:c>
      <x:c r="D30" s="28" t="str">
        <x:v>P1</x:v>
      </x:c>
      <x:c r="E30" s="28" t="str">
        <x:v>Author review</x:v>
      </x:c>
      <x:c r="F30" s="28" t="str">
        <x:v>Micah</x:v>
      </x:c>
      <x:c r="G30" s="23" t="str">
        <x:v>contents-baseline
scope-baseline</x:v>
      </x:c>
      <x:c r="H30" s="23" t="str">
        <x:f>IF(COUNTIFS(Dependencies!$A$7:$A$50,A30,Dependencies!$D$7:$D$50,"&lt;&gt;Verified output")=0,"Prerequisites met","Prerequisites open")</x:f>
        <x:v>Prerequisites met</x:v>
      </x:c>
      <x:c r="I30" s="23" t="str">
        <x:v>The contents is a proposed argument order, not a finished manuscript. Confirm whether the sequence preserves the breadth of the author's project.</x:v>
      </x:c>
      <x:c r="J30" s="23" t="str"/>
      <x:c r="K30" s="30"/>
      <x:c r="L30" s="28" t="str"/>
      <x:c r="M30" s="23" t="str">
        <x:v>shared-archive
names
catastrophe-memory
teacher-identity
thomas
trauma
images
gnosis
inner-model
faith
scriptural-axis
will
beast
warnings
repair-practice
next-inheritors
continuing</x:v>
      </x:c>
      <x:c r="N30" s="23" t="str">
        <x:v>https://v5ma.github.io/theology-wiki/san-reader.html?page=book-contents</x:v>
      </x:c>
      <x:c r="O30" s="23" t="n">
        <x:f>IF(E30="Verified output",1,0)</x:f>
        <x:v>0</x:v>
      </x:c>
      <x:c r="P30" s="23" t="str">
        <x:f>IF(AND(E30="Not started",H30="Prerequisites met"),"Ready","")</x:f>
      </x:c>
    </x:row>
    <x:row r="31" ht="94" customHeight="1">
      <x:c r="A31" s="23" t="str">
        <x:v>dossier-coverage</x:v>
      </x:c>
      <x:c r="B31" s="26" t="str">
        <x:v>Extend full argument maps to remaining developed articles</x:v>
      </x:c>
      <x:c r="C31" s="23" t="str">
        <x:v>Preserve and map the corpus</x:v>
      </x:c>
      <x:c r="D31" s="28" t="str">
        <x:v>P0</x:v>
      </x:c>
      <x:c r="E31" s="28" t="str">
        <x:v>Draft</x:v>
      </x:c>
      <x:c r="F31" s="28" t="str">
        <x:v>Editorial/research work (unassigned)</x:v>
      </x:c>
      <x:c r="G31" s="23" t="str">
        <x:v>coverage-register
scope-baseline</x:v>
      </x:c>
      <x:c r="H31" s="23" t="str">
        <x:f>IF(COUNTIFS(Dependencies!$A$7:$A$50,A31,Dependencies!$D$7:$D$50,"&lt;&gt;Verified output")=0,"Prerequisites met","Prerequisites open")</x:f>
        <x:v>Prerequisites met</x:v>
      </x:c>
      <x:c r="I31" s="23" t="str">
        <x:v>Every developed article has reviewed claims, original corrections, rejected readings and a scoped list of sources; source linking alone is not a fidelity sign-off. The first source-atlas pass adds four explicitly bounded challenge records; remaining article dossiers and author review are still required.</x:v>
      </x:c>
      <x:c r="J31" s="23" t="str">
        <x:v>theology-wiki/data/source-atlas.json
theology-wiki/content/developed/exodus-to-temple-competing-chronologies.md</x:v>
      </x:c>
      <x:c r="K31" s="30"/>
      <x:c r="L31" s="28" t="str"/>
      <x:c r="M31" s="23" t="str"/>
      <x:c r="N31" s="23" t="str">
        <x:v>https://v5ma.github.io/theology-wiki/san-reader.html?page=source-coverage</x:v>
      </x:c>
      <x:c r="O31" s="23" t="n">
        <x:f>IF(E31="Verified output",1,0)</x:f>
        <x:v>0</x:v>
      </x:c>
      <x:c r="P31" s="23" t="str">
        <x:f>IF(AND(E31="Not started",H31="Prerequisites met"),"Ready","")</x:f>
      </x:c>
    </x:row>
    <x:row r="32" ht="94" customHeight="1">
      <x:c r="A32" s="23" t="str">
        <x:v>temple-case</x:v>
      </x:c>
      <x:c r="B32" s="26" t="str">
        <x:v>Build one worked sacred-center dispute</x:v>
      </x:c>
      <x:c r="C32" s="23" t="str">
        <x:v>Assemble and verify passages</x:v>
      </x:c>
      <x:c r="D32" s="28" t="str">
        <x:v>P1</x:v>
      </x:c>
      <x:c r="E32" s="28" t="str">
        <x:v>Not started</x:v>
      </x:c>
      <x:c r="F32" s="28" t="str">
        <x:v>Editorial/research work (unassigned)</x:v>
      </x:c>
      <x:c r="G32" s="23" t="str">
        <x:v>archive-integrity</x:v>
      </x:c>
      <x:c r="H32" s="23" t="str">
        <x:f>IF(COUNTIFS(Dependencies!$A$7:$A$50,A32,Dependencies!$D$7:$D$50,"&lt;&gt;Verified output")=0,"Prerequisites met","Prerequisites open")</x:f>
        <x:v>Prerequisites met</x:v>
      </x:c>
      <x:c r="I32" s="23" t="str">
        <x:v>Compare exact textual readings and institutional claims for a selected sacred-center dispute with dates, translations and alternative interpretations.</x:v>
      </x:c>
      <x:c r="J32" s="23" t="str"/>
      <x:c r="K32" s="30"/>
      <x:c r="L32" s="28" t="str"/>
      <x:c r="M32" s="23" t="str">
        <x:v>shared-archive</x:v>
      </x:c>
      <x:c r="N32" s="23" t="str">
        <x:v>https://v5ma.github.io/theology-wiki/san-reader.html?page=samaritan-texts-and-sacred-authority</x:v>
      </x:c>
      <x:c r="O32" s="23" t="n">
        <x:f>IF(E32="Verified output",1,0)</x:f>
        <x:v>0</x:v>
      </x:c>
      <x:c r="P32" s="23" t="str">
        <x:f>IF(AND(E32="Not started",H32="Prerequisites met"),"Ready","")</x:f>
        <x:v>Ready</x:v>
      </x:c>
    </x:row>
    <x:row r="33" ht="94" customHeight="1">
      <x:c r="A33" s="23" t="str">
        <x:v>second-beast-history</x:v>
      </x:c>
      <x:c r="B33" s="26" t="str">
        <x:v>Explain the changing Second Beast candidates</x:v>
      </x:c>
      <x:c r="C33" s="23" t="str">
        <x:v>Develop complete arguments</x:v>
      </x:c>
      <x:c r="D33" s="28" t="str">
        <x:v>P1</x:v>
      </x:c>
      <x:c r="E33" s="28" t="str">
        <x:v>Not started</x:v>
      </x:c>
      <x:c r="F33" s="28" t="str">
        <x:v>Editorial/research work (unassigned)</x:v>
      </x:c>
      <x:c r="G33" s="23" t="str">
        <x:v>scope-baseline</x:v>
      </x:c>
      <x:c r="H33" s="23" t="str">
        <x:f>IF(COUNTIFS(Dependencies!$A$7:$A$50,A33,Dependencies!$D$7:$D$50,"&lt;&gt;Verified output")=0,"Prerequisites met","Prerequisites open")</x:f>
        <x:v>Prerequisites met</x:v>
      </x:c>
      <x:c r="I33" s="23" t="str">
        <x:v>Preserve dated candidates and whether each is an allegory, institutional role or fulfillment claim; explain what remains stable across versions.</x:v>
      </x:c>
      <x:c r="J33" s="23" t="str"/>
      <x:c r="K33" s="30"/>
      <x:c r="L33" s="28" t="str"/>
      <x:c r="M33" s="23" t="str">
        <x:v>beast</x:v>
      </x:c>
      <x:c r="N33" s="23" t="str">
        <x:v>https://v5ma.github.io/theology-wiki/san-reader.html?page=trump-first-beast-of-revelation</x:v>
      </x:c>
      <x:c r="O33" s="23" t="n">
        <x:f>IF(E33="Verified output",1,0)</x:f>
        <x:v>0</x:v>
      </x:c>
      <x:c r="P33" s="23" t="str">
        <x:f>IF(AND(E33="Not started",H33="Prerequisites met"),"Ready","")</x:f>
        <x:v>Ready</x:v>
      </x:c>
    </x:row>
    <x:row r="34" ht="94" customHeight="1">
      <x:c r="A34" s="23" t="str">
        <x:v>forecast-observations</x:v>
      </x:c>
      <x:c r="B34" s="26" t="str">
        <x:v>Build a separately dated observation register</x:v>
      </x:c>
      <x:c r="C34" s="23" t="str">
        <x:v>Assemble and verify passages</x:v>
      </x:c>
      <x:c r="D34" s="28" t="str">
        <x:v>P0</x:v>
      </x:c>
      <x:c r="E34" s="28" t="str">
        <x:v>Blocked</x:v>
      </x:c>
      <x:c r="F34" s="28" t="str">
        <x:v>Editorial/research work (unassigned)</x:v>
      </x:c>
      <x:c r="G34" s="23" t="str">
        <x:v>forecast-source</x:v>
      </x:c>
      <x:c r="H34" s="23" t="str">
        <x:f>IF(COUNTIFS(Dependencies!$A$7:$A$50,A34,Dependencies!$D$7:$D$50,"&lt;&gt;Verified output")=0,"Prerequisites met","Prerequisites open")</x:f>
        <x:v>Prerequisites open</x:v>
      </x:c>
      <x:c r="I34" s="23" t="str">
        <x:v>Recovered original predictions, conditions and dates remain immutable; later observations and assessments are separate records. No retroactive threshold is labeled preregistered.</x:v>
      </x:c>
      <x:c r="J34" s="23" t="str"/>
      <x:c r="K34" s="30"/>
      <x:c r="L34" s="28" t="str"/>
      <x:c r="M34" s="23" t="str">
        <x:v>warnings</x:v>
      </x:c>
      <x:c r="N34" s="23" t="str">
        <x:v>https://v5ma.github.io/theology-wiki/san-reader.html?page=forecast-ledger</x:v>
      </x:c>
      <x:c r="O34" s="23" t="n">
        <x:f>IF(E34="Verified output",1,0)</x:f>
        <x:v>0</x:v>
      </x:c>
      <x:c r="P34" s="23" t="str">
        <x:f>IF(AND(E34="Not started",H34="Prerequisites met"),"Ready","")</x:f>
      </x:c>
    </x:row>
    <x:row r="35" ht="94" customHeight="1">
      <x:c r="A35" s="23" t="str">
        <x:v>chapter-gates</x:v>
      </x:c>
      <x:c r="B35" s="26" t="str">
        <x:v>Attach explicit readiness gates to all chapter routes</x:v>
      </x:c>
      <x:c r="C35" s="23" t="str">
        <x:v>Connect the book</x:v>
      </x:c>
      <x:c r="D35" s="28" t="str">
        <x:v>P0</x:v>
      </x:c>
      <x:c r="E35" s="28" t="str">
        <x:v>Not started</x:v>
      </x:c>
      <x:c r="F35" s="28" t="str">
        <x:v>Editorial/research work (unassigned)</x:v>
      </x:c>
      <x:c r="G35" s="23" t="str">
        <x:v>chapter-arc
dossier-coverage</x:v>
      </x:c>
      <x:c r="H35" s="23" t="str">
        <x:f>IF(COUNTIFS(Dependencies!$A$7:$A$50,A35,Dependencies!$D$7:$D$50,"&lt;&gt;Verified output")=0,"Prerequisites met","Prerequisites open")</x:f>
        <x:v>Prerequisites open</x:v>
      </x:c>
      <x:c r="I35" s="23" t="str">
        <x:v>Each chapter has an argument map, worked sources, competing explanations, attribution, author review and a narrative handoff; no readiness is inferred from word count.</x:v>
      </x:c>
      <x:c r="J35" s="23" t="str"/>
      <x:c r="K35" s="30"/>
      <x:c r="L35" s="28" t="str"/>
      <x:c r="M35" s="23" t="str">
        <x:v>shared-archive
names
catastrophe-memory
teacher-identity
thomas
trauma
images
gnosis
inner-model
faith
scriptural-axis
will
beast
warnings
repair-practice
next-inheritors
continuing</x:v>
      </x:c>
      <x:c r="N35" s="23" t="str">
        <x:v>https://v5ma.github.io/theology-wiki/san-reader.html?page=book-contents</x:v>
      </x:c>
      <x:c r="O35" s="23" t="n">
        <x:f>IF(E35="Verified output",1,0)</x:f>
        <x:v>0</x:v>
      </x:c>
      <x:c r="P35" s="23" t="str">
        <x:f>IF(AND(E35="Not started",H35="Prerequisites met"),"Ready","")</x:f>
      </x:c>
    </x:row>
    <x:row r="36" ht="94" customHeight="1">
      <x:c r="A36" s="23" t="str">
        <x:v>pilot-chapter</x:v>
      </x:c>
      <x:c r="B36" s="26" t="str">
        <x:v>Draft the opening chapter in approved author-led prose</x:v>
      </x:c>
      <x:c r="C36" s="23" t="str">
        <x:v>Assemble chapter drafts</x:v>
      </x:c>
      <x:c r="D36" s="28" t="str">
        <x:v>P1</x:v>
      </x:c>
      <x:c r="E36" s="28" t="str">
        <x:v>Blocked</x:v>
      </x:c>
      <x:c r="F36" s="28" t="str">
        <x:v>Editorial/research work (unassigned)</x:v>
      </x:c>
      <x:c r="G36" s="23" t="str">
        <x:v>chapter-arc
temple-case
book-seed-status</x:v>
      </x:c>
      <x:c r="H36" s="23" t="str">
        <x:f>IF(COUNTIFS(Dependencies!$A$7:$A$50,A36,Dependencies!$D$7:$D$50,"&lt;&gt;Verified output")=0,"Prerequisites met","Prerequisites open")</x:f>
        <x:v>Prerequisites open</x:v>
      </x:c>
      <x:c r="I36" s="23" t="str">
        <x:v>A complete opening chapter develops the inheritance problem and its transition, with author-approved first-person wording and endnotes.</x:v>
      </x:c>
      <x:c r="J36" s="23" t="str"/>
      <x:c r="K36" s="30"/>
      <x:c r="L36" s="28" t="str"/>
      <x:c r="M36" s="23" t="str">
        <x:v>shared-archive</x:v>
      </x:c>
      <x:c r="N36" s="23" t="str">
        <x:v>https://v5ma.github.io/theology-wiki/san-reader.html?page=sacred-inheritance-and-rival-continuations</x:v>
      </x:c>
      <x:c r="O36" s="23" t="n">
        <x:f>IF(E36="Verified output",1,0)</x:f>
        <x:v>0</x:v>
      </x:c>
      <x:c r="P36" s="23" t="str">
        <x:f>IF(AND(E36="Not started",H36="Prerequisites met"),"Ready","")</x:f>
      </x:c>
    </x:row>
    <x:row r="37" ht="94" customHeight="1">
      <x:c r="A37" s="23" t="str">
        <x:v>manuscript-build</x:v>
      </x:c>
      <x:c r="B37" s="26" t="str">
        <x:v>Build a reproducible ordered manuscript</x:v>
      </x:c>
      <x:c r="C37" s="23" t="str">
        <x:v>Assemble chapter drafts</x:v>
      </x:c>
      <x:c r="D37" s="28" t="str">
        <x:v>P1</x:v>
      </x:c>
      <x:c r="E37" s="28" t="str">
        <x:v>Not started</x:v>
      </x:c>
      <x:c r="F37" s="28" t="str">
        <x:v>Editorial/research work (unassigned)</x:v>
      </x:c>
      <x:c r="G37" s="23" t="str">
        <x:v>pilot-chapter
chapter-gates</x:v>
      </x:c>
      <x:c r="H37" s="23" t="str">
        <x:f>IF(COUNTIFS(Dependencies!$A$7:$A$50,A37,Dependencies!$D$7:$D$50,"&lt;&gt;Verified output")=0,"Prerequisites met","Prerequisites open")</x:f>
        <x:v>Prerequisites open</x:v>
      </x:c>
      <x:c r="I37" s="23" t="str">
        <x:v>A pinned chapter map produces manuscript text, stable cross-references and endnotes without copying chat boilerplate. No automatic author-approval flag.</x:v>
      </x:c>
      <x:c r="J37" s="23" t="str"/>
      <x:c r="K37" s="30"/>
      <x:c r="L37" s="28" t="str"/>
      <x:c r="M37" s="23" t="str"/>
      <x:c r="N37" s="23" t="str">
        <x:v>https://v5ma.github.io/theology-wiki/san-reader.html?page=book-contents</x:v>
      </x:c>
      <x:c r="O37" s="23" t="n">
        <x:f>IF(E37="Verified output",1,0)</x:f>
        <x:v>0</x:v>
      </x:c>
      <x:c r="P37" s="23" t="str">
        <x:f>IF(AND(E37="Not started",H37="Prerequisites met"),"Ready","")</x:f>
      </x:c>
    </x:row>
    <x:row r="38" ht="94" customHeight="1">
      <x:c r="A38" s="23" t="str">
        <x:v>author-fidelity</x:v>
      </x:c>
      <x:c r="B38" s="26" t="str">
        <x:v>Review the full manuscript for argument preservation</x:v>
      </x:c>
      <x:c r="C38" s="23" t="str">
        <x:v>Review meaning and presentation</x:v>
      </x:c>
      <x:c r="D38" s="28" t="str">
        <x:v>P0</x:v>
      </x:c>
      <x:c r="E38" s="28" t="str">
        <x:v>Blocked</x:v>
      </x:c>
      <x:c r="F38" s="28" t="str">
        <x:v>Editorial/research work (unassigned)</x:v>
      </x:c>
      <x:c r="G38" s="23" t="str">
        <x:v>manuscript-build</x:v>
      </x:c>
      <x:c r="H38" s="23" t="str">
        <x:f>IF(COUNTIFS(Dependencies!$A$7:$A$50,A38,Dependencies!$D$7:$D$50,"&lt;&gt;Verified output")=0,"Prerequisites met","Prerequisites open")</x:f>
        <x:v>Prerequisites open</x:v>
      </x:c>
      <x:c r="I38" s="23" t="str">
        <x:v>Micah approves the manuscript argument by argument, including qualifications, intellectual debts, version distinctions and original corrections.</x:v>
      </x:c>
      <x:c r="J38" s="23" t="str"/>
      <x:c r="K38" s="30"/>
      <x:c r="L38" s="28" t="str"/>
      <x:c r="M38" s="23" t="str"/>
      <x:c r="N38" s="23" t="str">
        <x:v>https://v5ma.github.io/theology-wiki/san-reader.html?page=book-contents</x:v>
      </x:c>
      <x:c r="O38" s="23" t="n">
        <x:f>IF(E38="Verified output",1,0)</x:f>
        <x:v>0</x:v>
      </x:c>
      <x:c r="P38" s="23" t="str">
        <x:f>IF(AND(E38="Not started",H38="Prerequisites met"),"Ready","")</x:f>
      </x:c>
    </x:row>
    <x:row r="39" ht="94" customHeight="1">
      <x:c r="A39" s="23" t="str">
        <x:v>bibliography-rights</x:v>
      </x:c>
      <x:c r="B39" s="26" t="str">
        <x:v>Audit bibliography, quotations and image rights</x:v>
      </x:c>
      <x:c r="C39" s="23" t="str">
        <x:v>Review meaning and presentation</x:v>
      </x:c>
      <x:c r="D39" s="28" t="str">
        <x:v>P0</x:v>
      </x:c>
      <x:c r="E39" s="28" t="str">
        <x:v>Not started</x:v>
      </x:c>
      <x:c r="F39" s="28" t="str">
        <x:v>Editorial/research work (unassigned)</x:v>
      </x:c>
      <x:c r="G39" s="23" t="str">
        <x:v>tabor-citations
melchizedek
manuscript-build</x:v>
      </x:c>
      <x:c r="H39" s="23" t="str">
        <x:f>IF(COUNTIFS(Dependencies!$A$7:$A$50,A39,Dependencies!$D$7:$D$50,"&lt;&gt;Verified output")=0,"Prerequisites met","Prerequisites open")</x:f>
        <x:v>Prerequisites open</x:v>
      </x:c>
      <x:c r="I39" s="23" t="str">
        <x:v>Every scholarly claim has a consulted edition/location; all quotation and image licenses and required credits are checked.</x:v>
      </x:c>
      <x:c r="J39" s="23" t="str"/>
      <x:c r="K39" s="30"/>
      <x:c r="L39" s="28" t="str"/>
      <x:c r="M39" s="23" t="str"/>
      <x:c r="N39" s="23" t="str">
        <x:v>https://v5ma.github.io/theology-wiki/san-reader.html?page=intellectual-debts</x:v>
      </x:c>
      <x:c r="O39" s="23" t="n">
        <x:f>IF(E39="Verified output",1,0)</x:f>
        <x:v>0</x:v>
      </x:c>
      <x:c r="P39" s="23" t="str">
        <x:f>IF(AND(E39="Not started",H39="Prerequisites met"),"Ready","")</x:f>
      </x:c>
    </x:row>
    <x:row r="40" ht="94" customHeight="1">
      <x:c r="A40" s="23" t="str">
        <x:v>copyedit</x:v>
      </x:c>
      <x:c r="B40" s="26" t="str">
        <x:v>Edit flow, terminology and cross-chapter consistency</x:v>
      </x:c>
      <x:c r="C40" s="23" t="str">
        <x:v>Review meaning and presentation</x:v>
      </x:c>
      <x:c r="D40" s="28" t="str">
        <x:v>P1</x:v>
      </x:c>
      <x:c r="E40" s="28" t="str">
        <x:v>Not started</x:v>
      </x:c>
      <x:c r="F40" s="28" t="str">
        <x:v>Editorial/research work (unassigned)</x:v>
      </x:c>
      <x:c r="G40" s="23" t="str">
        <x:v>author-fidelity
bibliography-rights</x:v>
      </x:c>
      <x:c r="H40" s="23" t="str">
        <x:f>IF(COUNTIFS(Dependencies!$A$7:$A$50,A40,Dependencies!$D$7:$D$50,"&lt;&gt;Verified output")=0,"Prerequisites met","Prerequisites open")</x:f>
        <x:v>Prerequisites open</x:v>
      </x:c>
      <x:c r="I40" s="23" t="str">
        <x:v>Remove duplication and inconsistent terms without deleting substantive distinctions; maintain a traceable editorial change log.</x:v>
      </x:c>
      <x:c r="J40" s="23" t="str"/>
      <x:c r="K40" s="30"/>
      <x:c r="L40" s="28" t="str"/>
      <x:c r="M40" s="23" t="str"/>
      <x:c r="N40" s="23" t="str">
        <x:v>https://v5ma.github.io/theology-wiki/san-reader.html?page=book-contents</x:v>
      </x:c>
      <x:c r="O40" s="23" t="n">
        <x:f>IF(E40="Verified output",1,0)</x:f>
        <x:v>0</x:v>
      </x:c>
      <x:c r="P40" s="23" t="str">
        <x:f>IF(AND(E40="Not started",H40="Prerequisites met"),"Ready","")</x:f>
      </x:c>
    </x:row>
    <x:row r="41" ht="94" customHeight="1">
      <x:c r="A41" s="23" t="str">
        <x:v>publication-qa</x:v>
      </x:c>
      <x:c r="B41" s="26" t="str">
        <x:v>Verify publication artifacts and reader accessibility</x:v>
      </x:c>
      <x:c r="C41" s="23" t="str">
        <x:v>Prepare a stable edition</x:v>
      </x:c>
      <x:c r="D41" s="28" t="str">
        <x:v>P0</x:v>
      </x:c>
      <x:c r="E41" s="28" t="str">
        <x:v>Not started</x:v>
      </x:c>
      <x:c r="F41" s="28" t="str">
        <x:v>Editorial/research work (unassigned)</x:v>
      </x:c>
      <x:c r="G41" s="23" t="str">
        <x:v>copyedit</x:v>
      </x:c>
      <x:c r="H41" s="23" t="str">
        <x:f>IF(COUNTIFS(Dependencies!$A$7:$A$50,A41,Dependencies!$D$7:$D$50,"&lt;&gt;Verified output")=0,"Prerequisites met","Prerequisites open")</x:f>
        <x:v>Prerequisites open</x:v>
      </x:c>
      <x:c r="I41" s="23" t="str">
        <x:v>Run complete content/browser checks, read every print-layout page, verify links and credits, and archive the exact approved edition.</x:v>
      </x:c>
      <x:c r="J41" s="23" t="str"/>
      <x:c r="K41" s="30"/>
      <x:c r="L41" s="28" t="str"/>
      <x:c r="M41" s="23" t="str"/>
      <x:c r="N41" s="23" t="str">
        <x:v>https://v5ma.github.io/theology-wiki/san-reader.html?page=research-roadmap</x:v>
      </x:c>
      <x:c r="O41" s="23" t="n">
        <x:f>IF(E41="Verified output",1,0)</x:f>
        <x:v>0</x:v>
      </x:c>
      <x:c r="P41" s="23" t="str">
        <x:f>IF(AND(E41="Not started",H41="Prerequisites met"),"Ready","")</x:f>
      </x:c>
    </x:row>
    <x:row r="42" ht="94" customHeight="1">
      <x:c r="A42" s="23" t="str">
        <x:v>release-edition</x:v>
      </x:c>
      <x:c r="B42" s="26" t="str">
        <x:v>Publish an author-approved edition and companion wiki</x:v>
      </x:c>
      <x:c r="C42" s="23" t="str">
        <x:v>Prepare a stable edition</x:v>
      </x:c>
      <x:c r="D42" s="28" t="str">
        <x:v>P1</x:v>
      </x:c>
      <x:c r="E42" s="28" t="str">
        <x:v>Blocked</x:v>
      </x:c>
      <x:c r="F42" s="28" t="str">
        <x:v>Editorial/research work (unassigned)</x:v>
      </x:c>
      <x:c r="G42" s="23" t="str">
        <x:v>publication-qa
author-fidelity</x:v>
      </x:c>
      <x:c r="H42" s="23" t="str">
        <x:f>IF(COUNTIFS(Dependencies!$A$7:$A$50,A42,Dependencies!$D$7:$D$50,"&lt;&gt;Verified output")=0,"Prerequisites met","Prerequisites open")</x:f>
        <x:v>Prerequisites open</x:v>
      </x:c>
      <x:c r="I42" s="23" t="str">
        <x:v>Publish only after author sign-off, rights and technical checks; pin source versions and maintain a dated errata record.</x:v>
      </x:c>
      <x:c r="J42" s="23" t="str"/>
      <x:c r="K42" s="30"/>
      <x:c r="L42" s="28" t="str"/>
      <x:c r="M42" s="23" t="str"/>
      <x:c r="N42" s="23" t="str">
        <x:v>https://v5ma.github.io/theology-wiki/san-reader.html?page=book-contents</x:v>
      </x:c>
      <x:c r="O42" s="23" t="n">
        <x:f>IF(E42="Verified output",1,0)</x:f>
        <x:v>0</x:v>
      </x:c>
      <x:c r="P42" s="23" t="str">
        <x:f>IF(AND(E42="Not started",H42="Prerequisites met"),"Ready","")</x:f>
      </x:c>
    </x:row>
  </x:sheetData>
  <x:mergeCells>
    <x:mergeCell ref="A1:P1"/>
    <x:mergeCell ref="A2:P3"/>
    <x:mergeCell ref="A5:P5"/>
  </x:mergeCells>
  <x:conditionalFormatting sqref="E7:E42">
    <x:cfRule type="expression" dxfId="0" priority="1">
      <x:formula>E7="Verified output"</x:formula>
    </x:cfRule>
    <x:cfRule type="expression" dxfId="1" priority="2">
      <x:formula>E7="Blocked"</x:formula>
    </x:cfRule>
  </x:conditionalFormatting>
  <x:dataValidations count="2">
    <x:dataValidation type="list" sqref="E7:E42">
      <x:formula1>"Not started,In progress,Draft,Author review,Verified output,Blocked"</x:formula1>
    </x:dataValidation>
    <x:dataValidation type="list" sqref="D7:D42">
      <x:formula1>"P0,P1,P2"</x:formula1>
    </x:dataValidation>
  </x:dataValidations>
  <x:pageMargins left="0.7" right="0.7" top="0.75" bottom="0.75" header="0.3" footer="0.3"/>
  <x:tableParts count="1">
    <x:tablePart xmlns:r="http://schemas.openxmlformats.org/officeDocument/2006/relationships" r:id="R5ddcef50f9bd403f"/>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48" hidden="0" customWidth="1"/>
    <x:col min="4" max="4" width="24" hidden="0" customWidth="1"/>
    <x:col min="5" max="5" width="15" hidden="0" customWidth="1"/>
    <x:col min="6" max="6" width="70" hidden="0" customWidth="1"/>
  </x:cols>
  <x:sheetData>
    <x:row r="1" ht="36" customHeight="1">
      <x:c r="A1" s="5" t="str">
        <x:v>Theology | Dependency edges</x:v>
      </x:c>
      <x:c r="B1" s="5"/>
      <x:c r="C1" s="5"/>
      <x:c r="D1" s="5"/>
      <x:c r="E1" s="5"/>
      <x:c r="F1" s="5"/>
    </x:row>
    <x:row r="2" ht="22" customHeight="1">
      <x:c r="A2" s="10" t="str">
        <x:v>Each row is a work-order dependency. It is not a logical entailment between theological claims. Status and satisfaction recalculate from Checklist.</x:v>
      </x:c>
      <x:c r="B2" s="10"/>
      <x:c r="C2" s="10"/>
      <x:c r="D2" s="10"/>
      <x:c r="E2" s="10"/>
      <x:c r="F2" s="10"/>
    </x:row>
    <x:row r="3" ht="22" customHeight="1">
      <x:c r="A3" s="10"/>
      <x:c r="B3" s="10"/>
      <x:c r="C3" s="10"/>
      <x:c r="D3" s="10"/>
      <x:c r="E3" s="10"/>
      <x:c r="F3" s="10"/>
    </x:row>
    <x:row r="4">
      <x:c r="A4" s="2"/>
      <x:c r="B4" s="2"/>
      <x:c r="C4" s="2"/>
      <x:c r="D4" s="2"/>
      <x:c r="E4" s="2"/>
      <x:c r="F4" s="2"/>
    </x:row>
    <x:row r="5" ht="20" customHeight="1">
      <x:c r="A5" s="14" t="str">
        <x:v>Snapshot 2026-09-05 | 2026.09.05-atlas-1 | Shared plan: theology-wiki/editorial/roadmap.json</x:v>
      </x:c>
      <x:c r="B5" s="14"/>
      <x:c r="C5" s="14"/>
      <x:c r="D5" s="14"/>
      <x:c r="E5" s="14"/>
      <x:c r="F5" s="14"/>
    </x:row>
    <x:row r="6" ht="32" customHeight="1">
      <x:c r="A6" s="18" t="str">
        <x:v>Task ID</x:v>
      </x:c>
      <x:c r="B6" s="18" t="str">
        <x:v>Prerequisite ID</x:v>
      </x:c>
      <x:c r="C6" s="18" t="str">
        <x:v>Prerequisite deliverable</x:v>
      </x:c>
      <x:c r="D6" s="18" t="str">
        <x:v>Prerequisite status</x:v>
      </x:c>
      <x:c r="E6" s="18" t="str">
        <x:v>Satisfied</x:v>
      </x:c>
      <x:c r="F6" s="18" t="str">
        <x:v>Reader URL</x:v>
      </x:c>
    </x:row>
    <x:row r="7" ht="64" customHeight="1">
      <x:c r="A7" s="23" t="str">
        <x:v>shared-roadmap</x:v>
      </x:c>
      <x:c r="B7" s="23" t="str">
        <x:v>archive-integrity</x:v>
      </x:c>
      <x:c r="C7" s="23" t="str">
        <x:v>Preserve and verify all 354 published chats</x:v>
      </x:c>
      <x:c r="D7" s="23" t="str">
        <x:f>IFERROR(INDEX(Checklist!$E$7:$E$42,MATCH(B7,Checklist!$A$7:$A$42,0)),"Unknown ID")</x:f>
        <x:v>Verified output</x:v>
      </x:c>
      <x:c r="E7" s="23" t="n">
        <x:f>IF(D7="Verified output",1,0)</x:f>
        <x:v>1</x:v>
      </x:c>
      <x:c r="F7" s="23" t="str">
        <x:v>https://v5ma.github.io/theology-wiki/san-reader.html?page=research-roadmap&amp;task=archive-integrity</x:v>
      </x:c>
    </x:row>
    <x:row r="8" ht="64" customHeight="1">
      <x:c r="A8" s="23" t="str">
        <x:v>coverage-register</x:v>
      </x:c>
      <x:c r="B8" s="23" t="str">
        <x:v>archive-integrity</x:v>
      </x:c>
      <x:c r="C8" s="23" t="str">
        <x:v>Preserve and verify all 354 published chats</x:v>
      </x:c>
      <x:c r="D8" s="23" t="str">
        <x:f>IFERROR(INDEX(Checklist!$E$7:$E$42,MATCH(B8,Checklist!$A$7:$A$42,0)),"Unknown ID")</x:f>
        <x:v>Verified output</x:v>
      </x:c>
      <x:c r="E8" s="23" t="n">
        <x:f>IF(D8="Verified output",1,0)</x:f>
        <x:v>1</x:v>
      </x:c>
      <x:c r="F8" s="23" t="str">
        <x:v>https://v5ma.github.io/theology-wiki/san-reader.html?page=research-roadmap&amp;task=archive-integrity</x:v>
      </x:c>
    </x:row>
    <x:row r="9" ht="64" customHeight="1">
      <x:c r="A9" s="23" t="str">
        <x:v>planning-workbook</x:v>
      </x:c>
      <x:c r="B9" s="23" t="str">
        <x:v>shared-roadmap</x:v>
      </x:c>
      <x:c r="C9" s="23" t="str">
        <x:v>Publish the durable roadmap and dependency checks</x:v>
      </x:c>
      <x:c r="D9" s="23" t="str">
        <x:f>IFERROR(INDEX(Checklist!$E$7:$E$42,MATCH(B9,Checklist!$A$7:$A$42,0)),"Unknown ID")</x:f>
        <x:v>Verified output</x:v>
      </x:c>
      <x:c r="E9" s="23" t="n">
        <x:f>IF(D9="Verified output",1,0)</x:f>
        <x:v>1</x:v>
      </x:c>
      <x:c r="F9" s="23" t="str">
        <x:v>https://v5ma.github.io/theology-wiki/san-reader.html?page=research-roadmap&amp;task=shared-roadmap</x:v>
      </x:c>
    </x:row>
    <x:row r="10" ht="64" customHeight="1">
      <x:c r="A10" s="23" t="str">
        <x:v>planning-workbook</x:v>
      </x:c>
      <x:c r="B10" s="23" t="str">
        <x:v>coverage-register</x:v>
      </x:c>
      <x:c r="C10" s="23" t="str">
        <x:v>Publish complete source-to-article and chapter coverage</x:v>
      </x:c>
      <x:c r="D10" s="23" t="str">
        <x:f>IFERROR(INDEX(Checklist!$E$7:$E$42,MATCH(B10,Checklist!$A$7:$A$42,0)),"Unknown ID")</x:f>
        <x:v>Verified output</x:v>
      </x:c>
      <x:c r="E10" s="23" t="n">
        <x:f>IF(D10="Verified output",1,0)</x:f>
        <x:v>1</x:v>
      </x:c>
      <x:c r="F10" s="23" t="str">
        <x:v>https://v5ma.github.io/theology-wiki/san-reader.html?page=research-roadmap&amp;task=coverage-register</x:v>
      </x:c>
    </x:row>
    <x:row r="11" ht="64" customHeight="1">
      <x:c r="A11" s="23" t="str">
        <x:v>melchizedek-first-pass</x:v>
      </x:c>
      <x:c r="B11" s="23" t="str">
        <x:v>archive-integrity</x:v>
      </x:c>
      <x:c r="C11" s="23" t="str">
        <x:v>Preserve and verify all 354 published chats</x:v>
      </x:c>
      <x:c r="D11" s="23" t="str">
        <x:f>IFERROR(INDEX(Checklist!$E$7:$E$42,MATCH(B11,Checklist!$A$7:$A$42,0)),"Unknown ID")</x:f>
        <x:v>Verified output</x:v>
      </x:c>
      <x:c r="E11" s="23" t="n">
        <x:f>IF(D11="Verified output",1,0)</x:f>
        <x:v>1</x:v>
      </x:c>
      <x:c r="F11" s="23" t="str">
        <x:v>https://v5ma.github.io/theology-wiki/san-reader.html?page=research-roadmap&amp;task=archive-integrity</x:v>
      </x:c>
    </x:row>
    <x:row r="12" ht="64" customHeight="1">
      <x:c r="A12" s="23" t="str">
        <x:v>tor-version</x:v>
      </x:c>
      <x:c r="B12" s="23" t="str">
        <x:v>scope-baseline</x:v>
      </x:c>
      <x:c r="C12" s="23" t="str">
        <x:v>Preserve selected argument maps and author corrections</x:v>
      </x:c>
      <x:c r="D12" s="23" t="str">
        <x:f>IFERROR(INDEX(Checklist!$E$7:$E$42,MATCH(B12,Checklist!$A$7:$A$42,0)),"Unknown ID")</x:f>
        <x:v>Verified output</x:v>
      </x:c>
      <x:c r="E12" s="23" t="n">
        <x:f>IF(D12="Verified output",1,0)</x:f>
        <x:v>1</x:v>
      </x:c>
      <x:c r="F12" s="23" t="str">
        <x:v>https://v5ma.github.io/theology-wiki/san-reader.html?page=research-roadmap&amp;task=scope-baseline</x:v>
      </x:c>
    </x:row>
    <x:row r="13" ht="64" customHeight="1">
      <x:c r="A13" s="23" t="str">
        <x:v>tor-version</x:v>
      </x:c>
      <x:c r="B13" s="23" t="str">
        <x:v>melchizedek-first-pass</x:v>
      </x:c>
      <x:c r="C13" s="23" t="str">
        <x:v>Write the first passage-level Melchizedek comparison</x:v>
      </x:c>
      <x:c r="D13" s="23" t="str">
        <x:f>IFERROR(INDEX(Checklist!$E$7:$E$42,MATCH(B13,Checklist!$A$7:$A$42,0)),"Unknown ID")</x:f>
        <x:v>Verified output</x:v>
      </x:c>
      <x:c r="E13" s="23" t="n">
        <x:f>IF(D13="Verified output",1,0)</x:f>
        <x:v>1</x:v>
      </x:c>
      <x:c r="F13" s="23" t="str">
        <x:v>https://v5ma.github.io/theology-wiki/san-reader.html?page=research-roadmap&amp;task=melchizedek-first-pass</x:v>
      </x:c>
    </x:row>
    <x:row r="14" ht="64" customHeight="1">
      <x:c r="A14" s="23" t="str">
        <x:v>thomas-passages</x:v>
      </x:c>
      <x:c r="B14" s="23" t="str">
        <x:v>archive-integrity</x:v>
      </x:c>
      <x:c r="C14" s="23" t="str">
        <x:v>Preserve and verify all 354 published chats</x:v>
      </x:c>
      <x:c r="D14" s="23" t="str">
        <x:f>IFERROR(INDEX(Checklist!$E$7:$E$42,MATCH(B14,Checklist!$A$7:$A$42,0)),"Unknown ID")</x:f>
        <x:v>Verified output</x:v>
      </x:c>
      <x:c r="E14" s="23" t="n">
        <x:f>IF(D14="Verified output",1,0)</x:f>
        <x:v>1</x:v>
      </x:c>
      <x:c r="F14" s="23" t="str">
        <x:v>https://v5ma.github.io/theology-wiki/san-reader.html?page=research-roadmap&amp;task=archive-integrity</x:v>
      </x:c>
    </x:row>
    <x:row r="15" ht="64" customHeight="1">
      <x:c r="A15" s="23" t="str">
        <x:v>melchizedek</x:v>
      </x:c>
      <x:c r="B15" s="23" t="str">
        <x:v>melchizedek-first-pass</x:v>
      </x:c>
      <x:c r="C15" s="23" t="str">
        <x:v>Write the first passage-level Melchizedek comparison</x:v>
      </x:c>
      <x:c r="D15" s="23" t="str">
        <x:f>IFERROR(INDEX(Checklist!$E$7:$E$42,MATCH(B15,Checklist!$A$7:$A$42,0)),"Unknown ID")</x:f>
        <x:v>Verified output</x:v>
      </x:c>
      <x:c r="E15" s="23" t="n">
        <x:f>IF(D15="Verified output",1,0)</x:f>
        <x:v>1</x:v>
      </x:c>
      <x:c r="F15" s="23" t="str">
        <x:v>https://v5ma.github.io/theology-wiki/san-reader.html?page=research-roadmap&amp;task=melchizedek-first-pass</x:v>
      </x:c>
    </x:row>
    <x:row r="16" ht="64" customHeight="1">
      <x:c r="A16" s="23" t="str">
        <x:v>tabor-citations</x:v>
      </x:c>
      <x:c r="B16" s="23" t="str">
        <x:v>scope-baseline</x:v>
      </x:c>
      <x:c r="C16" s="23" t="str">
        <x:v>Preserve selected argument maps and author corrections</x:v>
      </x:c>
      <x:c r="D16" s="23" t="str">
        <x:f>IFERROR(INDEX(Checklist!$E$7:$E$42,MATCH(B16,Checklist!$A$7:$A$42,0)),"Unknown ID")</x:f>
        <x:v>Verified output</x:v>
      </x:c>
      <x:c r="E16" s="23" t="n">
        <x:f>IF(D16="Verified output",1,0)</x:f>
        <x:v>1</x:v>
      </x:c>
      <x:c r="F16" s="23" t="str">
        <x:v>https://v5ma.github.io/theology-wiki/san-reader.html?page=research-roadmap&amp;task=scope-baseline</x:v>
      </x:c>
    </x:row>
    <x:row r="17" ht="64" customHeight="1">
      <x:c r="A17" s="23" t="str">
        <x:v>egypt-ethiopia</x:v>
      </x:c>
      <x:c r="B17" s="23" t="str">
        <x:v>melchizedek-first-pass</x:v>
      </x:c>
      <x:c r="C17" s="23" t="str">
        <x:v>Write the first passage-level Melchizedek comparison</x:v>
      </x:c>
      <x:c r="D17" s="23" t="str">
        <x:f>IFERROR(INDEX(Checklist!$E$7:$E$42,MATCH(B17,Checklist!$A$7:$A$42,0)),"Unknown ID")</x:f>
        <x:v>Verified output</x:v>
      </x:c>
      <x:c r="E17" s="23" t="n">
        <x:f>IF(D17="Verified output",1,0)</x:f>
        <x:v>1</x:v>
      </x:c>
      <x:c r="F17" s="23" t="str">
        <x:v>https://v5ma.github.io/theology-wiki/san-reader.html?page=research-roadmap&amp;task=melchizedek-first-pass</x:v>
      </x:c>
    </x:row>
    <x:row r="18" ht="64" customHeight="1">
      <x:c r="A18" s="23" t="str">
        <x:v>priesthood</x:v>
      </x:c>
      <x:c r="B18" s="23" t="str">
        <x:v>melchizedek-first-pass</x:v>
      </x:c>
      <x:c r="C18" s="23" t="str">
        <x:v>Write the first passage-level Melchizedek comparison</x:v>
      </x:c>
      <x:c r="D18" s="23" t="str">
        <x:f>IFERROR(INDEX(Checklist!$E$7:$E$42,MATCH(B18,Checklist!$A$7:$A$42,0)),"Unknown ID")</x:f>
        <x:v>Verified output</x:v>
      </x:c>
      <x:c r="E18" s="23" t="n">
        <x:f>IF(D18="Verified output",1,0)</x:f>
        <x:v>1</x:v>
      </x:c>
      <x:c r="F18" s="23" t="str">
        <x:v>https://v5ma.github.io/theology-wiki/san-reader.html?page=research-roadmap&amp;task=melchizedek-first-pass</x:v>
      </x:c>
    </x:row>
    <x:row r="19" ht="64" customHeight="1">
      <x:c r="A19" s="23" t="str">
        <x:v>will</x:v>
      </x:c>
      <x:c r="B19" s="23" t="str">
        <x:v>scope-baseline</x:v>
      </x:c>
      <x:c r="C19" s="23" t="str">
        <x:v>Preserve selected argument maps and author corrections</x:v>
      </x:c>
      <x:c r="D19" s="23" t="str">
        <x:f>IFERROR(INDEX(Checklist!$E$7:$E$42,MATCH(B19,Checklist!$A$7:$A$42,0)),"Unknown ID")</x:f>
        <x:v>Verified output</x:v>
      </x:c>
      <x:c r="E19" s="23" t="n">
        <x:f>IF(D19="Verified output",1,0)</x:f>
        <x:v>1</x:v>
      </x:c>
      <x:c r="F19" s="23" t="str">
        <x:v>https://v5ma.github.io/theology-wiki/san-reader.html?page=research-roadmap&amp;task=scope-baseline</x:v>
      </x:c>
    </x:row>
    <x:row r="20" ht="64" customHeight="1">
      <x:c r="A20" s="23" t="str">
        <x:v>mixed-cases</x:v>
      </x:c>
      <x:c r="B20" s="23" t="str">
        <x:v>archive-integrity</x:v>
      </x:c>
      <x:c r="C20" s="23" t="str">
        <x:v>Preserve and verify all 354 published chats</x:v>
      </x:c>
      <x:c r="D20" s="23" t="str">
        <x:f>IFERROR(INDEX(Checklist!$E$7:$E$42,MATCH(B20,Checklist!$A$7:$A$42,0)),"Unknown ID")</x:f>
        <x:v>Verified output</x:v>
      </x:c>
      <x:c r="E20" s="23" t="n">
        <x:f>IF(D20="Verified output",1,0)</x:f>
        <x:v>1</x:v>
      </x:c>
      <x:c r="F20" s="23" t="str">
        <x:v>https://v5ma.github.io/theology-wiki/san-reader.html?page=research-roadmap&amp;task=archive-integrity</x:v>
      </x:c>
    </x:row>
    <x:row r="21" ht="64" customHeight="1">
      <x:c r="A21" s="23" t="str">
        <x:v>coherence</x:v>
      </x:c>
      <x:c r="B21" s="23" t="str">
        <x:v>scope-baseline</x:v>
      </x:c>
      <x:c r="C21" s="23" t="str">
        <x:v>Preserve selected argument maps and author corrections</x:v>
      </x:c>
      <x:c r="D21" s="23" t="str">
        <x:f>IFERROR(INDEX(Checklist!$E$7:$E$42,MATCH(B21,Checklist!$A$7:$A$42,0)),"Unknown ID")</x:f>
        <x:v>Verified output</x:v>
      </x:c>
      <x:c r="E21" s="23" t="n">
        <x:f>IF(D21="Verified output",1,0)</x:f>
        <x:v>1</x:v>
      </x:c>
      <x:c r="F21" s="23" t="str">
        <x:v>https://v5ma.github.io/theology-wiki/san-reader.html?page=research-roadmap&amp;task=scope-baseline</x:v>
      </x:c>
    </x:row>
    <x:row r="22" ht="64" customHeight="1">
      <x:c r="A22" s="23" t="str">
        <x:v>inner-model</x:v>
      </x:c>
      <x:c r="B22" s="23" t="str">
        <x:v>scope-baseline</x:v>
      </x:c>
      <x:c r="C22" s="23" t="str">
        <x:v>Preserve selected argument maps and author corrections</x:v>
      </x:c>
      <x:c r="D22" s="23" t="str">
        <x:f>IFERROR(INDEX(Checklist!$E$7:$E$42,MATCH(B22,Checklist!$A$7:$A$42,0)),"Unknown ID")</x:f>
        <x:v>Verified output</x:v>
      </x:c>
      <x:c r="E22" s="23" t="n">
        <x:f>IF(D22="Verified output",1,0)</x:f>
        <x:v>1</x:v>
      </x:c>
      <x:c r="F22" s="23" t="str">
        <x:v>https://v5ma.github.io/theology-wiki/san-reader.html?page=research-roadmap&amp;task=scope-baseline</x:v>
      </x:c>
    </x:row>
    <x:row r="23" ht="64" customHeight="1">
      <x:c r="A23" s="23" t="str">
        <x:v>forecast-source</x:v>
      </x:c>
      <x:c r="B23" s="23" t="str">
        <x:v>archive-integrity</x:v>
      </x:c>
      <x:c r="C23" s="23" t="str">
        <x:v>Preserve and verify all 354 published chats</x:v>
      </x:c>
      <x:c r="D23" s="23" t="str">
        <x:f>IFERROR(INDEX(Checklist!$E$7:$E$42,MATCH(B23,Checklist!$A$7:$A$42,0)),"Unknown ID")</x:f>
        <x:v>Verified output</x:v>
      </x:c>
      <x:c r="E23" s="23" t="n">
        <x:f>IF(D23="Verified output",1,0)</x:f>
        <x:v>1</x:v>
      </x:c>
      <x:c r="F23" s="23" t="str">
        <x:v>https://v5ma.github.io/theology-wiki/san-reader.html?page=research-roadmap&amp;task=archive-integrity</x:v>
      </x:c>
    </x:row>
    <x:row r="24" ht="64" customHeight="1">
      <x:c r="A24" s="23" t="str">
        <x:v>trauma</x:v>
      </x:c>
      <x:c r="B24" s="23" t="str">
        <x:v>archive-integrity</x:v>
      </x:c>
      <x:c r="C24" s="23" t="str">
        <x:v>Preserve and verify all 354 published chats</x:v>
      </x:c>
      <x:c r="D24" s="23" t="str">
        <x:f>IFERROR(INDEX(Checklist!$E$7:$E$42,MATCH(B24,Checklist!$A$7:$A$42,0)),"Unknown ID")</x:f>
        <x:v>Verified output</x:v>
      </x:c>
      <x:c r="E24" s="23" t="n">
        <x:f>IF(D24="Verified output",1,0)</x:f>
        <x:v>1</x:v>
      </x:c>
      <x:c r="F24" s="23" t="str">
        <x:v>https://v5ma.github.io/theology-wiki/san-reader.html?page=research-roadmap&amp;task=archive-integrity</x:v>
      </x:c>
    </x:row>
    <x:row r="25" ht="64" customHeight="1">
      <x:c r="A25" s="23" t="str">
        <x:v>formalism</x:v>
      </x:c>
      <x:c r="B25" s="23" t="str">
        <x:v>contents-baseline</x:v>
      </x:c>
      <x:c r="C25" s="23" t="str">
        <x:v>Preserve seventeen proposed chapter routes</x:v>
      </x:c>
      <x:c r="D25" s="23" t="str">
        <x:f>IFERROR(INDEX(Checklist!$E$7:$E$42,MATCH(B25,Checklist!$A$7:$A$42,0)),"Unknown ID")</x:f>
        <x:v>Verified output</x:v>
      </x:c>
      <x:c r="E25" s="23" t="n">
        <x:f>IF(D25="Verified output",1,0)</x:f>
        <x:v>1</x:v>
      </x:c>
      <x:c r="F25" s="23" t="str">
        <x:v>https://v5ma.github.io/theology-wiki/san-reader.html?page=research-roadmap&amp;task=contents-baseline</x:v>
      </x:c>
    </x:row>
    <x:row r="26" ht="64" customHeight="1">
      <x:c r="A26" s="23" t="str">
        <x:v>robot-reciprocity</x:v>
      </x:c>
      <x:c r="B26" s="23" t="str">
        <x:v>coherence</x:v>
      </x:c>
      <x:c r="C26" s="23" t="str">
        <x:v>Specify the different senses of coherence</x:v>
      </x:c>
      <x:c r="D26" s="23" t="str">
        <x:f>IFERROR(INDEX(Checklist!$E$7:$E$42,MATCH(B26,Checklist!$A$7:$A$42,0)),"Unknown ID")</x:f>
        <x:v>Draft</x:v>
      </x:c>
      <x:c r="E26" s="23" t="n">
        <x:f>IF(D26="Verified output",1,0)</x:f>
        <x:v>0</x:v>
      </x:c>
      <x:c r="F26" s="23" t="str">
        <x:v>https://v5ma.github.io/theology-wiki/san-reader.html?page=research-roadmap&amp;task=coherence</x:v>
      </x:c>
    </x:row>
    <x:row r="27" ht="64" customHeight="1">
      <x:c r="A27" s="23" t="str">
        <x:v>book-seed-status</x:v>
      </x:c>
      <x:c r="B27" s="23" t="str">
        <x:v>archive-integrity</x:v>
      </x:c>
      <x:c r="C27" s="23" t="str">
        <x:v>Preserve and verify all 354 published chats</x:v>
      </x:c>
      <x:c r="D27" s="23" t="str">
        <x:f>IFERROR(INDEX(Checklist!$E$7:$E$42,MATCH(B27,Checklist!$A$7:$A$42,0)),"Unknown ID")</x:f>
        <x:v>Verified output</x:v>
      </x:c>
      <x:c r="E27" s="23" t="n">
        <x:f>IF(D27="Verified output",1,0)</x:f>
        <x:v>1</x:v>
      </x:c>
      <x:c r="F27" s="23" t="str">
        <x:v>https://v5ma.github.io/theology-wiki/san-reader.html?page=research-roadmap&amp;task=archive-integrity</x:v>
      </x:c>
    </x:row>
    <x:row r="28" ht="64" customHeight="1">
      <x:c r="A28" s="23" t="str">
        <x:v>chapter-arc</x:v>
      </x:c>
      <x:c r="B28" s="23" t="str">
        <x:v>contents-baseline</x:v>
      </x:c>
      <x:c r="C28" s="23" t="str">
        <x:v>Preserve seventeen proposed chapter routes</x:v>
      </x:c>
      <x:c r="D28" s="23" t="str">
        <x:f>IFERROR(INDEX(Checklist!$E$7:$E$42,MATCH(B28,Checklist!$A$7:$A$42,0)),"Unknown ID")</x:f>
        <x:v>Verified output</x:v>
      </x:c>
      <x:c r="E28" s="23" t="n">
        <x:f>IF(D28="Verified output",1,0)</x:f>
        <x:v>1</x:v>
      </x:c>
      <x:c r="F28" s="23" t="str">
        <x:v>https://v5ma.github.io/theology-wiki/san-reader.html?page=research-roadmap&amp;task=contents-baseline</x:v>
      </x:c>
    </x:row>
    <x:row r="29" ht="64" customHeight="1">
      <x:c r="A29" s="23" t="str">
        <x:v>chapter-arc</x:v>
      </x:c>
      <x:c r="B29" s="23" t="str">
        <x:v>scope-baseline</x:v>
      </x:c>
      <x:c r="C29" s="23" t="str">
        <x:v>Preserve selected argument maps and author corrections</x:v>
      </x:c>
      <x:c r="D29" s="23" t="str">
        <x:f>IFERROR(INDEX(Checklist!$E$7:$E$42,MATCH(B29,Checklist!$A$7:$A$42,0)),"Unknown ID")</x:f>
        <x:v>Verified output</x:v>
      </x:c>
      <x:c r="E29" s="23" t="n">
        <x:f>IF(D29="Verified output",1,0)</x:f>
        <x:v>1</x:v>
      </x:c>
      <x:c r="F29" s="23" t="str">
        <x:v>https://v5ma.github.io/theology-wiki/san-reader.html?page=research-roadmap&amp;task=scope-baseline</x:v>
      </x:c>
    </x:row>
    <x:row r="30" ht="64" customHeight="1">
      <x:c r="A30" s="23" t="str">
        <x:v>dossier-coverage</x:v>
      </x:c>
      <x:c r="B30" s="23" t="str">
        <x:v>coverage-register</x:v>
      </x:c>
      <x:c r="C30" s="23" t="str">
        <x:v>Publish complete source-to-article and chapter coverage</x:v>
      </x:c>
      <x:c r="D30" s="23" t="str">
        <x:f>IFERROR(INDEX(Checklist!$E$7:$E$42,MATCH(B30,Checklist!$A$7:$A$42,0)),"Unknown ID")</x:f>
        <x:v>Verified output</x:v>
      </x:c>
      <x:c r="E30" s="23" t="n">
        <x:f>IF(D30="Verified output",1,0)</x:f>
        <x:v>1</x:v>
      </x:c>
      <x:c r="F30" s="23" t="str">
        <x:v>https://v5ma.github.io/theology-wiki/san-reader.html?page=research-roadmap&amp;task=coverage-register</x:v>
      </x:c>
    </x:row>
    <x:row r="31" ht="64" customHeight="1">
      <x:c r="A31" s="23" t="str">
        <x:v>dossier-coverage</x:v>
      </x:c>
      <x:c r="B31" s="23" t="str">
        <x:v>scope-baseline</x:v>
      </x:c>
      <x:c r="C31" s="23" t="str">
        <x:v>Preserve selected argument maps and author corrections</x:v>
      </x:c>
      <x:c r="D31" s="23" t="str">
        <x:f>IFERROR(INDEX(Checklist!$E$7:$E$42,MATCH(B31,Checklist!$A$7:$A$42,0)),"Unknown ID")</x:f>
        <x:v>Verified output</x:v>
      </x:c>
      <x:c r="E31" s="23" t="n">
        <x:f>IF(D31="Verified output",1,0)</x:f>
        <x:v>1</x:v>
      </x:c>
      <x:c r="F31" s="23" t="str">
        <x:v>https://v5ma.github.io/theology-wiki/san-reader.html?page=research-roadmap&amp;task=scope-baseline</x:v>
      </x:c>
    </x:row>
    <x:row r="32" ht="64" customHeight="1">
      <x:c r="A32" s="23" t="str">
        <x:v>temple-case</x:v>
      </x:c>
      <x:c r="B32" s="23" t="str">
        <x:v>archive-integrity</x:v>
      </x:c>
      <x:c r="C32" s="23" t="str">
        <x:v>Preserve and verify all 354 published chats</x:v>
      </x:c>
      <x:c r="D32" s="23" t="str">
        <x:f>IFERROR(INDEX(Checklist!$E$7:$E$42,MATCH(B32,Checklist!$A$7:$A$42,0)),"Unknown ID")</x:f>
        <x:v>Verified output</x:v>
      </x:c>
      <x:c r="E32" s="23" t="n">
        <x:f>IF(D32="Verified output",1,0)</x:f>
        <x:v>1</x:v>
      </x:c>
      <x:c r="F32" s="23" t="str">
        <x:v>https://v5ma.github.io/theology-wiki/san-reader.html?page=research-roadmap&amp;task=archive-integrity</x:v>
      </x:c>
    </x:row>
    <x:row r="33" ht="64" customHeight="1">
      <x:c r="A33" s="23" t="str">
        <x:v>second-beast-history</x:v>
      </x:c>
      <x:c r="B33" s="23" t="str">
        <x:v>scope-baseline</x:v>
      </x:c>
      <x:c r="C33" s="23" t="str">
        <x:v>Preserve selected argument maps and author corrections</x:v>
      </x:c>
      <x:c r="D33" s="23" t="str">
        <x:f>IFERROR(INDEX(Checklist!$E$7:$E$42,MATCH(B33,Checklist!$A$7:$A$42,0)),"Unknown ID")</x:f>
        <x:v>Verified output</x:v>
      </x:c>
      <x:c r="E33" s="23" t="n">
        <x:f>IF(D33="Verified output",1,0)</x:f>
        <x:v>1</x:v>
      </x:c>
      <x:c r="F33" s="23" t="str">
        <x:v>https://v5ma.github.io/theology-wiki/san-reader.html?page=research-roadmap&amp;task=scope-baseline</x:v>
      </x:c>
    </x:row>
    <x:row r="34" ht="64" customHeight="1">
      <x:c r="A34" s="23" t="str">
        <x:v>forecast-observations</x:v>
      </x:c>
      <x:c r="B34" s="23" t="str">
        <x:v>forecast-source</x:v>
      </x:c>
      <x:c r="C34" s="23" t="str">
        <x:v>Recover the later fuel/famine statements</x:v>
      </x:c>
      <x:c r="D34" s="23" t="str">
        <x:f>IFERROR(INDEX(Checklist!$E$7:$E$42,MATCH(B34,Checklist!$A$7:$A$42,0)),"Unknown ID")</x:f>
        <x:v>Not started</x:v>
      </x:c>
      <x:c r="E34" s="23" t="n">
        <x:f>IF(D34="Verified output",1,0)</x:f>
        <x:v>0</x:v>
      </x:c>
      <x:c r="F34" s="23" t="str">
        <x:v>https://v5ma.github.io/theology-wiki/san-reader.html?page=research-roadmap&amp;task=forecast-source</x:v>
      </x:c>
    </x:row>
    <x:row r="35" ht="64" customHeight="1">
      <x:c r="A35" s="23" t="str">
        <x:v>chapter-gates</x:v>
      </x:c>
      <x:c r="B35" s="23" t="str">
        <x:v>chapter-arc</x:v>
      </x:c>
      <x:c r="C35" s="23" t="str">
        <x:v>Review the proposed book sequence</x:v>
      </x:c>
      <x:c r="D35" s="23" t="str">
        <x:f>IFERROR(INDEX(Checklist!$E$7:$E$42,MATCH(B35,Checklist!$A$7:$A$42,0)),"Unknown ID")</x:f>
        <x:v>Author review</x:v>
      </x:c>
      <x:c r="E35" s="23" t="n">
        <x:f>IF(D35="Verified output",1,0)</x:f>
        <x:v>0</x:v>
      </x:c>
      <x:c r="F35" s="23" t="str">
        <x:v>https://v5ma.github.io/theology-wiki/san-reader.html?page=research-roadmap&amp;task=chapter-arc</x:v>
      </x:c>
    </x:row>
    <x:row r="36" ht="64" customHeight="1">
      <x:c r="A36" s="23" t="str">
        <x:v>chapter-gates</x:v>
      </x:c>
      <x:c r="B36" s="23" t="str">
        <x:v>dossier-coverage</x:v>
      </x:c>
      <x:c r="C36" s="23" t="str">
        <x:v>Extend full argument maps to remaining developed articles</x:v>
      </x:c>
      <x:c r="D36" s="23" t="str">
        <x:f>IFERROR(INDEX(Checklist!$E$7:$E$42,MATCH(B36,Checklist!$A$7:$A$42,0)),"Unknown ID")</x:f>
        <x:v>Draft</x:v>
      </x:c>
      <x:c r="E36" s="23" t="n">
        <x:f>IF(D36="Verified output",1,0)</x:f>
        <x:v>0</x:v>
      </x:c>
      <x:c r="F36" s="23" t="str">
        <x:v>https://v5ma.github.io/theology-wiki/san-reader.html?page=research-roadmap&amp;task=dossier-coverage</x:v>
      </x:c>
    </x:row>
    <x:row r="37" ht="64" customHeight="1">
      <x:c r="A37" s="23" t="str">
        <x:v>pilot-chapter</x:v>
      </x:c>
      <x:c r="B37" s="23" t="str">
        <x:v>chapter-arc</x:v>
      </x:c>
      <x:c r="C37" s="23" t="str">
        <x:v>Review the proposed book sequence</x:v>
      </x:c>
      <x:c r="D37" s="23" t="str">
        <x:f>IFERROR(INDEX(Checklist!$E$7:$E$42,MATCH(B37,Checklist!$A$7:$A$42,0)),"Unknown ID")</x:f>
        <x:v>Author review</x:v>
      </x:c>
      <x:c r="E37" s="23" t="n">
        <x:f>IF(D37="Verified output",1,0)</x:f>
        <x:v>0</x:v>
      </x:c>
      <x:c r="F37" s="23" t="str">
        <x:v>https://v5ma.github.io/theology-wiki/san-reader.html?page=research-roadmap&amp;task=chapter-arc</x:v>
      </x:c>
    </x:row>
    <x:row r="38" ht="64" customHeight="1">
      <x:c r="A38" s="23" t="str">
        <x:v>pilot-chapter</x:v>
      </x:c>
      <x:c r="B38" s="23" t="str">
        <x:v>temple-case</x:v>
      </x:c>
      <x:c r="C38" s="23" t="str">
        <x:v>Build one worked sacred-center dispute</x:v>
      </x:c>
      <x:c r="D38" s="23" t="str">
        <x:f>IFERROR(INDEX(Checklist!$E$7:$E$42,MATCH(B38,Checklist!$A$7:$A$42,0)),"Unknown ID")</x:f>
        <x:v>Not started</x:v>
      </x:c>
      <x:c r="E38" s="23" t="n">
        <x:f>IF(D38="Verified output",1,0)</x:f>
        <x:v>0</x:v>
      </x:c>
      <x:c r="F38" s="23" t="str">
        <x:v>https://v5ma.github.io/theology-wiki/san-reader.html?page=research-roadmap&amp;task=temple-case</x:v>
      </x:c>
    </x:row>
    <x:row r="39" ht="64" customHeight="1">
      <x:c r="A39" s="23" t="str">
        <x:v>pilot-chapter</x:v>
      </x:c>
      <x:c r="B39" s="23" t="str">
        <x:v>book-seed-status</x:v>
      </x:c>
      <x:c r="C39" s="23" t="str">
        <x:v>Review the old private-first label</x:v>
      </x:c>
      <x:c r="D39" s="23" t="str">
        <x:f>IFERROR(INDEX(Checklist!$E$7:$E$42,MATCH(B39,Checklist!$A$7:$A$42,0)),"Unknown ID")</x:f>
        <x:v>Author review</x:v>
      </x:c>
      <x:c r="E39" s="23" t="n">
        <x:f>IF(D39="Verified output",1,0)</x:f>
        <x:v>0</x:v>
      </x:c>
      <x:c r="F39" s="23" t="str">
        <x:v>https://v5ma.github.io/theology-wiki/san-reader.html?page=research-roadmap&amp;task=book-seed-status</x:v>
      </x:c>
    </x:row>
    <x:row r="40" ht="64" customHeight="1">
      <x:c r="A40" s="23" t="str">
        <x:v>manuscript-build</x:v>
      </x:c>
      <x:c r="B40" s="23" t="str">
        <x:v>pilot-chapter</x:v>
      </x:c>
      <x:c r="C40" s="23" t="str">
        <x:v>Draft the opening chapter in approved author-led prose</x:v>
      </x:c>
      <x:c r="D40" s="23" t="str">
        <x:f>IFERROR(INDEX(Checklist!$E$7:$E$42,MATCH(B40,Checklist!$A$7:$A$42,0)),"Unknown ID")</x:f>
        <x:v>Blocked</x:v>
      </x:c>
      <x:c r="E40" s="23" t="n">
        <x:f>IF(D40="Verified output",1,0)</x:f>
        <x:v>0</x:v>
      </x:c>
      <x:c r="F40" s="23" t="str">
        <x:v>https://v5ma.github.io/theology-wiki/san-reader.html?page=research-roadmap&amp;task=pilot-chapter</x:v>
      </x:c>
    </x:row>
    <x:row r="41" ht="64" customHeight="1">
      <x:c r="A41" s="23" t="str">
        <x:v>manuscript-build</x:v>
      </x:c>
      <x:c r="B41" s="23" t="str">
        <x:v>chapter-gates</x:v>
      </x:c>
      <x:c r="C41" s="23" t="str">
        <x:v>Attach explicit readiness gates to all chapter routes</x:v>
      </x:c>
      <x:c r="D41" s="23" t="str">
        <x:f>IFERROR(INDEX(Checklist!$E$7:$E$42,MATCH(B41,Checklist!$A$7:$A$42,0)),"Unknown ID")</x:f>
        <x:v>Not started</x:v>
      </x:c>
      <x:c r="E41" s="23" t="n">
        <x:f>IF(D41="Verified output",1,0)</x:f>
        <x:v>0</x:v>
      </x:c>
      <x:c r="F41" s="23" t="str">
        <x:v>https://v5ma.github.io/theology-wiki/san-reader.html?page=research-roadmap&amp;task=chapter-gates</x:v>
      </x:c>
    </x:row>
    <x:row r="42" ht="64" customHeight="1">
      <x:c r="A42" s="23" t="str">
        <x:v>author-fidelity</x:v>
      </x:c>
      <x:c r="B42" s="23" t="str">
        <x:v>manuscript-build</x:v>
      </x:c>
      <x:c r="C42" s="23" t="str">
        <x:v>Build a reproducible ordered manuscript</x:v>
      </x:c>
      <x:c r="D42" s="23" t="str">
        <x:f>IFERROR(INDEX(Checklist!$E$7:$E$42,MATCH(B42,Checklist!$A$7:$A$42,0)),"Unknown ID")</x:f>
        <x:v>Not started</x:v>
      </x:c>
      <x:c r="E42" s="23" t="n">
        <x:f>IF(D42="Verified output",1,0)</x:f>
        <x:v>0</x:v>
      </x:c>
      <x:c r="F42" s="23" t="str">
        <x:v>https://v5ma.github.io/theology-wiki/san-reader.html?page=research-roadmap&amp;task=manuscript-build</x:v>
      </x:c>
    </x:row>
    <x:row r="43" ht="64" customHeight="1">
      <x:c r="A43" s="23" t="str">
        <x:v>bibliography-rights</x:v>
      </x:c>
      <x:c r="B43" s="23" t="str">
        <x:v>tabor-citations</x:v>
      </x:c>
      <x:c r="C43" s="23" t="str">
        <x:v>Locate precise Tabor citations</x:v>
      </x:c>
      <x:c r="D43" s="23" t="str">
        <x:f>IFERROR(INDEX(Checklist!$E$7:$E$42,MATCH(B43,Checklist!$A$7:$A$42,0)),"Unknown ID")</x:f>
        <x:v>Not started</x:v>
      </x:c>
      <x:c r="E43" s="23" t="n">
        <x:f>IF(D43="Verified output",1,0)</x:f>
        <x:v>0</x:v>
      </x:c>
      <x:c r="F43" s="23" t="str">
        <x:v>https://v5ma.github.io/theology-wiki/san-reader.html?page=research-roadmap&amp;task=tabor-citations</x:v>
      </x:c>
    </x:row>
    <x:row r="44" ht="64" customHeight="1">
      <x:c r="A44" s="23" t="str">
        <x:v>bibliography-rights</x:v>
      </x:c>
      <x:c r="B44" s="23" t="str">
        <x:v>melchizedek</x:v>
      </x:c>
      <x:c r="C44" s="23" t="str">
        <x:v>Collate and extend the first Melchizedek comparison</x:v>
      </x:c>
      <x:c r="D44" s="23" t="str">
        <x:f>IFERROR(INDEX(Checklist!$E$7:$E$42,MATCH(B44,Checklist!$A$7:$A$42,0)),"Unknown ID")</x:f>
        <x:v>Not started</x:v>
      </x:c>
      <x:c r="E44" s="23" t="n">
        <x:f>IF(D44="Verified output",1,0)</x:f>
        <x:v>0</x:v>
      </x:c>
      <x:c r="F44" s="23" t="str">
        <x:v>https://v5ma.github.io/theology-wiki/san-reader.html?page=research-roadmap&amp;task=melchizedek</x:v>
      </x:c>
    </x:row>
    <x:row r="45" ht="64" customHeight="1">
      <x:c r="A45" s="23" t="str">
        <x:v>bibliography-rights</x:v>
      </x:c>
      <x:c r="B45" s="23" t="str">
        <x:v>manuscript-build</x:v>
      </x:c>
      <x:c r="C45" s="23" t="str">
        <x:v>Build a reproducible ordered manuscript</x:v>
      </x:c>
      <x:c r="D45" s="23" t="str">
        <x:f>IFERROR(INDEX(Checklist!$E$7:$E$42,MATCH(B45,Checklist!$A$7:$A$42,0)),"Unknown ID")</x:f>
        <x:v>Not started</x:v>
      </x:c>
      <x:c r="E45" s="23" t="n">
        <x:f>IF(D45="Verified output",1,0)</x:f>
        <x:v>0</x:v>
      </x:c>
      <x:c r="F45" s="23" t="str">
        <x:v>https://v5ma.github.io/theology-wiki/san-reader.html?page=research-roadmap&amp;task=manuscript-build</x:v>
      </x:c>
    </x:row>
    <x:row r="46" ht="64" customHeight="1">
      <x:c r="A46" s="23" t="str">
        <x:v>copyedit</x:v>
      </x:c>
      <x:c r="B46" s="23" t="str">
        <x:v>author-fidelity</x:v>
      </x:c>
      <x:c r="C46" s="23" t="str">
        <x:v>Review the full manuscript for argument preservation</x:v>
      </x:c>
      <x:c r="D46" s="23" t="str">
        <x:f>IFERROR(INDEX(Checklist!$E$7:$E$42,MATCH(B46,Checklist!$A$7:$A$42,0)),"Unknown ID")</x:f>
        <x:v>Blocked</x:v>
      </x:c>
      <x:c r="E46" s="23" t="n">
        <x:f>IF(D46="Verified output",1,0)</x:f>
        <x:v>0</x:v>
      </x:c>
      <x:c r="F46" s="23" t="str">
        <x:v>https://v5ma.github.io/theology-wiki/san-reader.html?page=research-roadmap&amp;task=author-fidelity</x:v>
      </x:c>
    </x:row>
    <x:row r="47" ht="64" customHeight="1">
      <x:c r="A47" s="23" t="str">
        <x:v>copyedit</x:v>
      </x:c>
      <x:c r="B47" s="23" t="str">
        <x:v>bibliography-rights</x:v>
      </x:c>
      <x:c r="C47" s="23" t="str">
        <x:v>Audit bibliography, quotations and image rights</x:v>
      </x:c>
      <x:c r="D47" s="23" t="str">
        <x:f>IFERROR(INDEX(Checklist!$E$7:$E$42,MATCH(B47,Checklist!$A$7:$A$42,0)),"Unknown ID")</x:f>
        <x:v>Not started</x:v>
      </x:c>
      <x:c r="E47" s="23" t="n">
        <x:f>IF(D47="Verified output",1,0)</x:f>
        <x:v>0</x:v>
      </x:c>
      <x:c r="F47" s="23" t="str">
        <x:v>https://v5ma.github.io/theology-wiki/san-reader.html?page=research-roadmap&amp;task=bibliography-rights</x:v>
      </x:c>
    </x:row>
    <x:row r="48" ht="64" customHeight="1">
      <x:c r="A48" s="23" t="str">
        <x:v>publication-qa</x:v>
      </x:c>
      <x:c r="B48" s="23" t="str">
        <x:v>copyedit</x:v>
      </x:c>
      <x:c r="C48" s="23" t="str">
        <x:v>Edit flow, terminology and cross-chapter consistency</x:v>
      </x:c>
      <x:c r="D48" s="23" t="str">
        <x:f>IFERROR(INDEX(Checklist!$E$7:$E$42,MATCH(B48,Checklist!$A$7:$A$42,0)),"Unknown ID")</x:f>
        <x:v>Not started</x:v>
      </x:c>
      <x:c r="E48" s="23" t="n">
        <x:f>IF(D48="Verified output",1,0)</x:f>
        <x:v>0</x:v>
      </x:c>
      <x:c r="F48" s="23" t="str">
        <x:v>https://v5ma.github.io/theology-wiki/san-reader.html?page=research-roadmap&amp;task=copyedit</x:v>
      </x:c>
    </x:row>
    <x:row r="49" ht="64" customHeight="1">
      <x:c r="A49" s="23" t="str">
        <x:v>release-edition</x:v>
      </x:c>
      <x:c r="B49" s="23" t="str">
        <x:v>publication-qa</x:v>
      </x:c>
      <x:c r="C49" s="23" t="str">
        <x:v>Verify publication artifacts and reader accessibility</x:v>
      </x:c>
      <x:c r="D49" s="23" t="str">
        <x:f>IFERROR(INDEX(Checklist!$E$7:$E$42,MATCH(B49,Checklist!$A$7:$A$42,0)),"Unknown ID")</x:f>
        <x:v>Not started</x:v>
      </x:c>
      <x:c r="E49" s="23" t="n">
        <x:f>IF(D49="Verified output",1,0)</x:f>
        <x:v>0</x:v>
      </x:c>
      <x:c r="F49" s="23" t="str">
        <x:v>https://v5ma.github.io/theology-wiki/san-reader.html?page=research-roadmap&amp;task=publication-qa</x:v>
      </x:c>
    </x:row>
    <x:row r="50" ht="64" customHeight="1">
      <x:c r="A50" s="23" t="str">
        <x:v>release-edition</x:v>
      </x:c>
      <x:c r="B50" s="23" t="str">
        <x:v>author-fidelity</x:v>
      </x:c>
      <x:c r="C50" s="23" t="str">
        <x:v>Review the full manuscript for argument preservation</x:v>
      </x:c>
      <x:c r="D50" s="23" t="str">
        <x:f>IFERROR(INDEX(Checklist!$E$7:$E$42,MATCH(B50,Checklist!$A$7:$A$42,0)),"Unknown ID")</x:f>
        <x:v>Blocked</x:v>
      </x:c>
      <x:c r="E50" s="23" t="n">
        <x:f>IF(D50="Verified output",1,0)</x:f>
        <x:v>0</x:v>
      </x:c>
      <x:c r="F50" s="23" t="str">
        <x:v>https://v5ma.github.io/theology-wiki/san-reader.html?page=research-roadmap&amp;task=author-fidelity</x:v>
      </x:c>
    </x:row>
  </x:sheetData>
  <x:mergeCells>
    <x:mergeCell ref="A1:F1"/>
    <x:mergeCell ref="A2:F3"/>
    <x:mergeCell ref="A5:F5"/>
  </x:mergeCells>
  <x:pageMargins left="0.7" right="0.7" top="0.75" bottom="0.75" header="0.3" footer="0.3"/>
  <x:tableParts count="1">
    <x:tablePart xmlns:r="http://schemas.openxmlformats.org/officeDocument/2006/relationships" r:id="R276491e41745444c"/>
  </x:tableParts>
</x:worksheet>
</file>

<file path=xl/worksheets/sheet4.xml><?xml version="1.0" encoding="utf-8"?>
<x:worksheet xmlns:x="http://schemas.openxmlformats.org/spreadsheetml/2006/main">
  <x:sheetFormatPr defaultRowHeight="15"/>
  <x:cols>
    <x:col min="1" max="1" width="26" hidden="0" customWidth="1"/>
    <x:col min="2" max="2" width="38" hidden="0" customWidth="1"/>
    <x:col min="3" max="3" width="42" hidden="0" customWidth="1"/>
    <x:col min="4" max="4" width="35" hidden="0" customWidth="1"/>
    <x:col min="5" max="5" width="44" hidden="0" customWidth="1"/>
    <x:col min="6" max="6" width="50" hidden="0" customWidth="1"/>
    <x:col min="7" max="7" width="14" hidden="0" customWidth="1"/>
    <x:col min="8" max="8" width="35" hidden="0" customWidth="1"/>
    <x:col min="9" max="9" width="19" hidden="0" customWidth="1"/>
    <x:col min="10" max="10" width="58" hidden="0" customWidth="1"/>
    <x:col min="11" max="11" width="60" hidden="0" customWidth="1"/>
  </x:cols>
  <x:sheetData>
    <x:row r="1" ht="36" customHeight="1">
      <x:c r="A1" s="5" t="str">
        <x:v>Theology | Proposed book sequence</x:v>
      </x:c>
      <x:c r="B1" s="5"/>
      <x:c r="C1" s="5"/>
      <x:c r="D1" s="5"/>
      <x:c r="E1" s="5"/>
      <x:c r="F1" s="5"/>
      <x:c r="G1" s="5"/>
      <x:c r="H1" s="5"/>
      <x:c r="I1" s="5"/>
      <x:c r="J1" s="5"/>
      <x:c r="K1" s="5"/>
    </x:row>
    <x:row r="2" ht="22" customHeight="1">
      <x:c r="A2" s="10" t="str">
        <x:v>Seventeen routes in five movements are not completed manuscript chapters. Source counts measure recorded references; author approval must be recorded separately.</x:v>
      </x:c>
      <x:c r="B2" s="10"/>
      <x:c r="C2" s="10"/>
      <x:c r="D2" s="10"/>
      <x:c r="E2" s="10"/>
      <x:c r="F2" s="10"/>
      <x:c r="G2" s="10"/>
      <x:c r="H2" s="10"/>
      <x:c r="I2" s="10"/>
      <x:c r="J2" s="10"/>
      <x:c r="K2" s="10"/>
    </x:row>
    <x:row r="3" ht="22" customHeight="1">
      <x:c r="A3" s="10"/>
      <x:c r="B3" s="10"/>
      <x:c r="C3" s="10"/>
      <x:c r="D3" s="10"/>
      <x:c r="E3" s="10"/>
      <x:c r="F3" s="10"/>
      <x:c r="G3" s="10"/>
      <x:c r="H3" s="10"/>
      <x:c r="I3" s="10"/>
      <x:c r="J3" s="10"/>
      <x:c r="K3" s="10"/>
    </x:row>
    <x:row r="4">
      <x:c r="A4" s="2"/>
      <x:c r="B4" s="2"/>
      <x:c r="C4" s="2"/>
      <x:c r="D4" s="2"/>
      <x:c r="E4" s="2"/>
      <x:c r="F4" s="2"/>
      <x:c r="G4" s="2"/>
      <x:c r="H4" s="2"/>
      <x:c r="I4" s="2"/>
      <x:c r="J4" s="2"/>
      <x:c r="K4" s="2"/>
    </x:row>
    <x:row r="5" ht="20" customHeight="1">
      <x:c r="A5" s="14" t="str">
        <x:v>Snapshot 2026-09-05 | 2026.09.05-atlas-1 | Shared plan: theology-wiki/editorial/roadmap.json</x:v>
      </x:c>
      <x:c r="B5" s="14"/>
      <x:c r="C5" s="14"/>
      <x:c r="D5" s="14"/>
      <x:c r="E5" s="14"/>
      <x:c r="F5" s="14"/>
      <x:c r="G5" s="14"/>
      <x:c r="H5" s="14"/>
      <x:c r="I5" s="14"/>
      <x:c r="J5" s="14"/>
      <x:c r="K5" s="14"/>
    </x:row>
    <x:row r="6" ht="32" customHeight="1">
      <x:c r="A6" s="18" t="str">
        <x:v>Chapter ID</x:v>
      </x:c>
      <x:c r="B6" s="18" t="str">
        <x:v>Book movement</x:v>
      </x:c>
      <x:c r="C6" s="18" t="str">
        <x:v>Chapter route</x:v>
      </x:c>
      <x:c r="D6" s="18" t="str">
        <x:v>Manuscript state</x:v>
      </x:c>
      <x:c r="E6" s="18" t="str">
        <x:v>Article slugs</x:v>
      </x:c>
      <x:c r="F6" s="18" t="str">
        <x:v>Referenced source slugs</x:v>
      </x:c>
      <x:c r="G6" s="18" t="str">
        <x:v>Source count</x:v>
      </x:c>
      <x:c r="H6" s="18" t="str">
        <x:v>Related task IDs</x:v>
      </x:c>
      <x:c r="I6" s="18" t="str">
        <x:v>Author review</x:v>
      </x:c>
      <x:c r="J6" s="18" t="str">
        <x:v>Purpose and transition</x:v>
      </x:c>
      <x:c r="K6" s="18" t="str">
        <x:v>Reader URL</x:v>
      </x:c>
    </x:row>
    <x:row r="7" ht="64" customHeight="1">
      <x:c r="A7" s="23" t="str">
        <x:v>shared-archive</x:v>
      </x:c>
      <x:c r="B7" s="23" t="str">
        <x:v>The contested inheritance</x:v>
      </x:c>
      <x:c r="C7" s="23" t="str">
        <x:v>Who inherits the sacred?</x:v>
      </x:c>
      <x:c r="D7" s="23" t="str">
        <x:v>Not assessed as a manuscript chapter</x:v>
      </x:c>
      <x:c r="E7" s="23" t="str">
        <x:v>sacred-inheritance-and-rival-continuations
samaritan-texts-and-sacred-authority
flood-inheritance-and-deep-time</x:v>
      </x:c>
      <x:c r="F7" s="23" t="str">
        <x:v>samaritan-and-jewish-texts
ai-re-dates-dead-sea-scrolls
teacher-of-righteousness-vs-gnostic-jesus
paul-vs-james-movement</x:v>
      </x:c>
      <x:c r="G7" s="23" t="n">
        <x:f>IF(F7="",0,LEN(F7)-LEN(SUBSTITUTE(F7,CHAR(10),""))+1)</x:f>
        <x:v>4</x:v>
      </x:c>
      <x:c r="H7" s="23" t="str">
        <x:v>formalism
book-seed-status
chapter-arc
temple-case
chapter-gates
pilot-chapter</x:v>
      </x:c>
      <x:c r="I7" s="28" t="str">
        <x:v>Not reviewed</x:v>
      </x:c>
      <x:c r="J7" s="23" t="str">
        <x:v>Establish the shared-inheritance question before examining rival claims.</x:v>
      </x:c>
      <x:c r="K7" s="23" t="str">
        <x:v>https://v5ma.github.io/theology-wiki/san-reader.html?page=sacred-inheritance-and-rival-continuations
https://v5ma.github.io/theology-wiki/san-reader.html?page=samaritan-texts-and-sacred-authority
https://v5ma.github.io/theology-wiki/san-reader.html?page=flood-inheritance-and-deep-time</x:v>
      </x:c>
    </x:row>
    <x:row r="8" ht="64" customHeight="1">
      <x:c r="A8" s="23" t="str">
        <x:v>names</x:v>
      </x:c>
      <x:c r="B8" s="23" t="str">
        <x:v>The contested inheritance</x:v>
      </x:c>
      <x:c r="C8" s="23" t="str">
        <x:v>Names across boundaries</x:v>
      </x:c>
      <x:c r="D8" s="23" t="str">
        <x:v>Not assessed as a manuscript chapter</x:v>
      </x:c>
      <x:c r="E8" s="23" t="str">
        <x:v>el-in-ancient-egypt
kenite-hypothesis-and-yahweh-origins</x:v>
      </x:c>
      <x:c r="F8" s="23" t="str">
        <x:v>jews-and-canaanites-origins
yahweh-and-asherah-s-relationship
gnostic-teachings-and-clarity
what-is-midian</x:v>
      </x:c>
      <x:c r="G8" s="23" t="n">
        <x:f>IF(F8="",0,LEN(F8)-LEN(SUBSTITUTE(F8,CHAR(10),""))+1)</x:f>
        <x:v>4</x:v>
      </x:c>
      <x:c r="H8" s="23" t="str">
        <x:v>chapter-arc
chapter-gates</x:v>
      </x:c>
      <x:c r="I8" s="28" t="str">
        <x:v>Not reviewed</x:v>
      </x:c>
      <x:c r="J8" s="23" t="str">
        <x:v>Separate the movement of divine names from the identity of an entire religion.</x:v>
      </x:c>
      <x:c r="K8" s="23" t="str">
        <x:v>https://v5ma.github.io/theology-wiki/san-reader.html?page=el-in-ancient-egypt
https://v5ma.github.io/theology-wiki/san-reader.html?page=kenite-hypothesis-and-yahweh-origins</x:v>
      </x:c>
    </x:row>
    <x:row r="9" ht="64" customHeight="1">
      <x:c r="A9" s="23" t="str">
        <x:v>catastrophe-memory</x:v>
      </x:c>
      <x:c r="B9" s="23" t="str">
        <x:v>The contested inheritance</x:v>
      </x:c>
      <x:c r="C9" s="23" t="str">
        <x:v>Catastrophe, departure and memory</x:v>
      </x:c>
      <x:c r="D9" s="23" t="str">
        <x:v>Not assessed as a manuscript chapter</x:v>
      </x:c>
      <x:c r="E9" s="23" t="str">
        <x:v>moses-volcano-and-exodus-chronology
exodus-to-temple-competing-chronologies</x:v>
      </x:c>
      <x:c r="F9" s="23" t="str">
        <x:v>moses-dating-debate
parthians-and-medes-meaning
daniel-and-teacher-of-righteousness</x:v>
      </x:c>
      <x:c r="G9" s="23" t="n">
        <x:f>IF(F9="",0,LEN(F9)-LEN(SUBSTITUTE(F9,CHAR(10),""))+1)</x:f>
        <x:v>3</x:v>
      </x:c>
      <x:c r="H9" s="23" t="str">
        <x:v>chapter-arc
chapter-gates</x:v>
      </x:c>
      <x:c r="I9" s="28" t="str">
        <x:v>Not reviewed</x:v>
      </x:c>
      <x:c r="J9" s="23" t="str">
        <x:v>Compare the competing Moses and volcano proposals without blending their geographies or dates.</x:v>
      </x:c>
      <x:c r="K9" s="23" t="str">
        <x:v>https://v5ma.github.io/theology-wiki/san-reader.html?page=moses-volcano-and-exodus-chronology
https://v5ma.github.io/theology-wiki/san-reader.html?page=exodus-to-temple-competing-chronologies</x:v>
      </x:c>
    </x:row>
    <x:row r="10" ht="130" customHeight="1">
      <x:c r="A10" s="23" t="str">
        <x:v>teacher-identity</x:v>
      </x:c>
      <x:c r="B10" s="23" t="str">
        <x:v>The teacher and the transmitted message</x:v>
      </x:c>
      <x:c r="C10" s="23" t="str">
        <x:v>What survives a teacher?</x:v>
      </x:c>
      <x:c r="D10" s="23" t="str">
        <x:v>Not assessed as a manuscript chapter</x:v>
      </x:c>
      <x:c r="E10" s="23" t="str">
        <x:v>jesus-teacher-of-righteousness-hypothesis
daniel-jubilee-and-the-teachers-time</x:v>
      </x:c>
      <x:c r="F10" s="23" t="str">
        <x:v>teacher-of-righteousness-vs-gnostic-jesus
pilate-life-timeline
daniel-and-teacher-of-righteousness
ai-re-dates-dead-sea-scrolls</x:v>
      </x:c>
      <x:c r="G10" s="23" t="n">
        <x:f>IF(F10="",0,LEN(F10)-LEN(SUBSTITUTE(F10,CHAR(10),""))+1)</x:f>
        <x:v>4</x:v>
      </x:c>
      <x:c r="H10" s="23" t="str">
        <x:v>melchizedek-first-pass
priesthood
chapter-arc
chapter-gates</x:v>
      </x:c>
      <x:c r="I10" s="28" t="str">
        <x:v>Not reviewed</x:v>
      </x:c>
      <x:c r="J10" s="23" t="str">
        <x:v>Keep individual identity, office, namesakes, community and sayings distinct.</x:v>
      </x:c>
      <x:c r="K10" s="23" t="str">
        <x:v>https://v5ma.github.io/theology-wiki/san-reader.html?page=jesus-teacher-of-righteousness-hypothesis
https://v5ma.github.io/theology-wiki/san-reader.html?page=daniel-jubilee-and-the-teachers-time</x:v>
      </x:c>
    </x:row>
    <x:row r="11" ht="130" customHeight="1">
      <x:c r="A11" s="23" t="str">
        <x:v>thomas</x:v>
      </x:c>
      <x:c r="B11" s="23" t="str">
        <x:v>The teacher and the transmitted message</x:v>
      </x:c>
      <x:c r="C11" s="23" t="str">
        <x:v>The Teacher, Thomas and the deeper teaching</x:v>
      </x:c>
      <x:c r="D11" s="23" t="str">
        <x:v>Not assessed as a manuscript chapter</x:v>
      </x:c>
      <x:c r="E11" s="23" t="str">
        <x:v>tor-thomas-and-gnostic-transmission
melchizedek-priesthood-and-transmission
manuscripts-movements-and-survival
onias-egypt-and-priestly-continuity</x:v>
      </x:c>
      <x:c r="F11" s="23" t="str">
        <x:v>teacher-of-righteousness-vs-gnostic-jesus
ai-re-dates-dead-sea-scrolls
daniel-and-teacher-of-righteousness
paul-vs-james-movement
who-was-josepheous
jewish-apocalyptic-repair-timeline</x:v>
      </x:c>
      <x:c r="G11" s="23" t="n">
        <x:f>IF(F11="",0,LEN(F11)-LEN(SUBSTITUTE(F11,CHAR(10),""))+1)</x:f>
        <x:v>6</x:v>
      </x:c>
      <x:c r="H11" s="23" t="str">
        <x:v>melchizedek-first-pass
tor-version
thomas-passages
melchizedek
egypt-ethiopia
chapter-arc
chapter-gates</x:v>
      </x:c>
      <x:c r="I11" s="28" t="str">
        <x:v>Not reviewed</x:v>
      </x:c>
      <x:c r="J11" s="23" t="str">
        <x:v>Present the linked argument before comparing its alternative historical mechanisms.</x:v>
      </x:c>
      <x:c r="K11" s="23" t="str">
        <x:v>https://v5ma.github.io/theology-wiki/san-reader.html?page=tor-thomas-and-gnostic-transmission
https://v5ma.github.io/theology-wiki/san-reader.html?page=melchizedek-priesthood-and-transmission
https://v5ma.github.io/theology-wiki/san-reader.html?page=manuscripts-movements-and-survival
https://v5ma.github.io/theology-wiki/san-reader.html?page=onias-egypt-and-priestly-continuity</x:v>
      </x:c>
    </x:row>
    <x:row r="12" ht="130" customHeight="1">
      <x:c r="A12" s="23" t="str">
        <x:v>trauma</x:v>
      </x:c>
      <x:c r="B12" s="23" t="str">
        <x:v>The teacher and the transmitted message</x:v>
      </x:c>
      <x:c r="C12" s="23" t="str">
        <x:v>Loss, anger and reconstruction</x:v>
      </x:c>
      <x:c r="D12" s="23" t="str">
        <x:v>Not assessed as a manuscript chapter</x:v>
      </x:c>
      <x:c r="E12" s="23" t="str">
        <x:v>gnosticism-and-temple-trauma
apocalyptic-repair-theology
onias-egypt-and-priestly-continuity</x:v>
      </x:c>
      <x:c r="F12" s="23" t="str">
        <x:v>early-vs-later-gnosticism
jewish-apocalyptic-repair-timeline
agi-religious-framework
ai-re-dates-dead-sea-scrolls</x:v>
      </x:c>
      <x:c r="G12" s="23" t="n">
        <x:f>IF(F12="",0,LEN(F12)-LEN(SUBSTITUTE(F12,CHAR(10),""))+1)</x:f>
        <x:v>4</x:v>
      </x:c>
      <x:c r="H12" s="23" t="str">
        <x:v>trauma
chapter-arc
chapter-gates</x:v>
      </x:c>
      <x:c r="I12" s="28" t="str">
        <x:v>Not reviewed</x:v>
      </x:c>
      <x:c r="J12" s="23" t="str">
        <x:v>Apply the proposed comparison to Gnostic and non-Gnostic texts rather than assuming a single emotional progression.</x:v>
      </x:c>
      <x:c r="K12" s="23" t="str">
        <x:v>https://v5ma.github.io/theology-wiki/san-reader.html?page=gnosticism-and-temple-trauma
https://v5ma.github.io/theology-wiki/san-reader.html?page=apocalyptic-repair-theology
https://v5ma.github.io/theology-wiki/san-reader.html?page=onias-egypt-and-priestly-continuity</x:v>
      </x:c>
    </x:row>
    <x:row r="13" ht="64" customHeight="1">
      <x:c r="A13" s="23" t="str">
        <x:v>images</x:v>
      </x:c>
      <x:c r="B13" s="23" t="str">
        <x:v>The inheritance inside a mind</x:v>
      </x:c>
      <x:c r="C13" s="23" t="str">
        <x:v>God and our images of God</x:v>
      </x:c>
      <x:c r="D13" s="23" t="str">
        <x:v>Not assessed as a manuscript chapter</x:v>
      </x:c>
      <x:c r="E13" s="23" t="str">
        <x:v>god-and-our-models-of-god
computational-divine-immanence</x:v>
      </x:c>
      <x:c r="F13" s="23" t="str">
        <x:v>naming-god-as-purpose
cognitive-gnosticism-jesus-vs-gnostic-jesus
agi-religious-framework
faith-as-vibration-concept</x:v>
      </x:c>
      <x:c r="G13" s="23" t="n">
        <x:f>IF(F13="",0,LEN(F13)-LEN(SUBSTITUTE(F13,CHAR(10),""))+1)</x:f>
        <x:v>4</x:v>
      </x:c>
      <x:c r="H13" s="23" t="str">
        <x:v>coherence
chapter-arc
chapter-gates</x:v>
      </x:c>
      <x:c r="I13" s="28" t="str">
        <x:v>Not reviewed</x:v>
      </x:c>
      <x:c r="J13" s="23" t="str">
        <x:v>Distinguish a representation, its claimed referent and the standard by which it is corrected.</x:v>
      </x:c>
      <x:c r="K13" s="23" t="str">
        <x:v>https://v5ma.github.io/theology-wiki/san-reader.html?page=god-and-our-models-of-god
https://v5ma.github.io/theology-wiki/san-reader.html?page=computational-divine-immanence</x:v>
      </x:c>
    </x:row>
    <x:row r="14" ht="64" customHeight="1">
      <x:c r="A14" s="23" t="str">
        <x:v>gnosis</x:v>
      </x:c>
      <x:c r="B14" s="23" t="str">
        <x:v>The inheritance inside a mind</x:v>
      </x:c>
      <x:c r="C14" s="23" t="str">
        <x:v>Cognitive Gnosticism</x:v>
      </x:c>
      <x:c r="D14" s="23" t="str">
        <x:v>Not assessed as a manuscript chapter</x:v>
      </x:c>
      <x:c r="E14" s="23" t="str">
        <x:v>cognitive-gnosticism</x:v>
      </x:c>
      <x:c r="F14" s="23" t="str">
        <x:v>cognitive-gnosticism-jesus-vs-gnostic-jesus
publishing-cognitive-gnosticism-first
antichrist-spiritual-inversion
teacher-of-righteousness-vs-gnostic-jesus
faith-as-vibration-concept</x:v>
      </x:c>
      <x:c r="G14" s="23" t="n">
        <x:f>IF(F14="",0,LEN(F14)-LEN(SUBSTITUTE(F14,CHAR(10),""))+1)</x:f>
        <x:v>5</x:v>
      </x:c>
      <x:c r="H14" s="23" t="str">
        <x:v>chapter-arc
chapter-gates</x:v>
      </x:c>
      <x:c r="I14" s="28" t="str">
        <x:v>Not reviewed</x:v>
      </x:c>
      <x:c r="J14" s="23" t="str">
        <x:v>Develop the relationship between understanding a teaching and embodying it in a changing mind.</x:v>
      </x:c>
      <x:c r="K14" s="23" t="str">
        <x:v>https://v5ma.github.io/theology-wiki/san-reader.html?page=cognitive-gnosticism</x:v>
      </x:c>
    </x:row>
    <x:row r="15" ht="64" customHeight="1">
      <x:c r="A15" s="23" t="str">
        <x:v>inner-model</x:v>
      </x:c>
      <x:c r="B15" s="23" t="str">
        <x:v>The inheritance inside a mind</x:v>
      </x:c>
      <x:c r="C15" s="23" t="str">
        <x:v>Christic self-formation and bounded agency</x:v>
      </x:c>
      <x:c r="D15" s="23" t="str">
        <x:v>Not assessed as a manuscript chapter</x:v>
      </x:c>
      <x:c r="E15" s="23" t="str">
        <x:v>christ-as-an-inner-model
divine-will-and-self-authorizing-power
inner-formation-texts-and-material-witnesses</x:v>
      </x:c>
      <x:c r="F15" s="23" t="str">
        <x:v>cognitive-gnosticism-jesus-vs-gnostic-jesus
antichrist-spiritual-inversion
teacher-of-righteousness-vs-gnostic-jesus
samuel-vs-micah-divide
resurrection-debate-in-christianity
agi-religious-framework
ai-re-dates-dead-sea-scrolls</x:v>
      </x:c>
      <x:c r="G15" s="23" t="n">
        <x:f>IF(F15="",0,LEN(F15)-LEN(SUBSTITUTE(F15,CHAR(10),""))+1)</x:f>
        <x:v>7</x:v>
      </x:c>
      <x:c r="H15" s="23" t="str">
        <x:v>will
inner-model
chapter-arc
chapter-gates</x:v>
      </x:c>
      <x:c r="I15" s="28" t="str">
        <x:v>Not reviewed</x:v>
      </x:c>
      <x:c r="J15" s="23" t="str">
        <x:v>Develop the embodied self, learned self-model, recurrent choice and correction of the Christ model, then examine the textual and material history of formation.</x:v>
      </x:c>
      <x:c r="K15" s="23" t="str">
        <x:v>https://v5ma.github.io/theology-wiki/san-reader.html?page=christ-as-an-inner-model
https://v5ma.github.io/theology-wiki/san-reader.html?page=divine-will-and-self-authorizing-power
https://v5ma.github.io/theology-wiki/san-reader.html?page=inner-formation-texts-and-material-witnesses</x:v>
      </x:c>
    </x:row>
    <x:row r="16" ht="64" customHeight="1">
      <x:c r="A16" s="23" t="str">
        <x:v>faith</x:v>
      </x:c>
      <x:c r="B16" s="23" t="str">
        <x:v>The inheritance inside a mind</x:v>
      </x:c>
      <x:c r="C16" s="23" t="str">
        <x:v>Faith as a practiced orientation</x:v>
      </x:c>
      <x:c r="D16" s="23" t="str">
        <x:v>Not assessed as a manuscript chapter</x:v>
      </x:c>
      <x:c r="E16" s="23" t="str">
        <x:v>faith-as-deliberate-joy</x:v>
      </x:c>
      <x:c r="F16" s="23" t="str">
        <x:v>deliberate-joy-concept
antichrist-spiritual-inversion
faith-as-vibration-concept
samuel-vs-micah-divide</x:v>
      </x:c>
      <x:c r="G16" s="23" t="n">
        <x:f>IF(F16="",0,LEN(F16)-LEN(SUBSTITUTE(F16,CHAR(10),""))+1)</x:f>
        <x:v>4</x:v>
      </x:c>
      <x:c r="H16" s="23" t="str">
        <x:v>chapter-arc
chapter-gates</x:v>
      </x:c>
      <x:c r="I16" s="28" t="str">
        <x:v>Not reviewed</x:v>
      </x:c>
      <x:c r="J16" s="23" t="str">
        <x:v>Explain deliberate joy without erasing grief, danger or responsibility to others.</x:v>
      </x:c>
      <x:c r="K16" s="23" t="str">
        <x:v>https://v5ma.github.io/theology-wiki/san-reader.html?page=faith-as-deliberate-joy</x:v>
      </x:c>
    </x:row>
    <x:row r="17" ht="64" customHeight="1">
      <x:c r="A17" s="23" t="str">
        <x:v>scriptural-axis</x:v>
      </x:c>
      <x:c r="B17" s="23" t="str">
        <x:v>When sacred authority becomes power</x:v>
      </x:c>
      <x:c r="C17" s="23" t="str">
        <x:v>The moral dispute within scripture</x:v>
      </x:c>
      <x:c r="D17" s="23" t="str">
        <x:v>Not assessed as a manuscript chapter</x:v>
      </x:c>
      <x:c r="E17" s="23" t="str">
        <x:v>scripture-power-and-repair</x:v>
      </x:c>
      <x:c r="F17" s="23" t="str">
        <x:v>samuel-vs-micah-divide
cognitive-gnosticism-jesus-vs-gnostic-jesus</x:v>
      </x:c>
      <x:c r="G17" s="23" t="n">
        <x:f>IF(F17="",0,LEN(F17)-LEN(SUBSTITUTE(F17,CHAR(10),""))+1)</x:f>
        <x:v>2</x:v>
      </x:c>
      <x:c r="H17" s="23" t="str">
        <x:v>mixed-cases
chapter-arc
chapter-gates</x:v>
      </x:c>
      <x:c r="I17" s="28" t="str">
        <x:v>Not reviewed</x:v>
      </x:c>
      <x:c r="J17" s="23" t="str">
        <x:v>Work through specific passages and mixed cases, not a binary classification of whole figures or communities.</x:v>
      </x:c>
      <x:c r="K17" s="23" t="str">
        <x:v>https://v5ma.github.io/theology-wiki/san-reader.html?page=scripture-power-and-repair</x:v>
      </x:c>
    </x:row>
    <x:row r="18" ht="64" customHeight="1">
      <x:c r="A18" s="23" t="str">
        <x:v>will</x:v>
      </x:c>
      <x:c r="B18" s="23" t="str">
        <x:v>When sacred authority becomes power</x:v>
      </x:c>
      <x:c r="C18" s="23" t="str">
        <x:v>Whose will supplies the standard?</x:v>
      </x:c>
      <x:c r="D18" s="23" t="str">
        <x:v>Not assessed as a manuscript chapter</x:v>
      </x:c>
      <x:c r="E18" s="23" t="str">
        <x:v>divine-will-and-self-authorizing-power
antichrist-as-a-pattern-of-conduct</x:v>
      </x:c>
      <x:c r="F18" s="23" t="str">
        <x:v>early-vs-later-gnosticism
antichrist-spiritual-inversion
resurrection-debate-in-christianity
cognitive-gnosticism-jesus-vs-gnostic-jesus
agi-religious-framework</x:v>
      </x:c>
      <x:c r="G18" s="23" t="n">
        <x:f>IF(F18="",0,LEN(F18)-LEN(SUBSTITUTE(F18,CHAR(10),""))+1)</x:f>
        <x:v>5</x:v>
      </x:c>
      <x:c r="H18" s="23" t="str">
        <x:v>will
chapter-arc
chapter-gates</x:v>
      </x:c>
      <x:c r="I18" s="28" t="str">
        <x:v>Not reviewed</x:v>
      </x:c>
      <x:c r="J18" s="23" t="str">
        <x:v>Connect Jesus's moral priority to criticism of self-authorizing power.</x:v>
      </x:c>
      <x:c r="K18" s="23" t="str">
        <x:v>https://v5ma.github.io/theology-wiki/san-reader.html?page=divine-will-and-self-authorizing-power
https://v5ma.github.io/theology-wiki/san-reader.html?page=antichrist-as-a-pattern-of-conduct</x:v>
      </x:c>
    </x:row>
    <x:row r="19" ht="64" customHeight="1">
      <x:c r="A19" s="23" t="str">
        <x:v>beast</x:v>
      </x:c>
      <x:c r="B19" s="23" t="str">
        <x:v>When sacred authority becomes power</x:v>
      </x:c>
      <x:c r="C19" s="23" t="str">
        <x:v>The First Beast investigation</x:v>
      </x:c>
      <x:c r="D19" s="23" t="str">
        <x:v>Not assessed as a manuscript chapter</x:v>
      </x:c>
      <x:c r="E19" s="23" t="str">
        <x:v>trump-first-beast-of-revelation</x:v>
      </x:c>
      <x:c r="F19" s="23" t="str">
        <x:v>revelation-interpretation-and-america
false-peace-prophecy</x:v>
      </x:c>
      <x:c r="G19" s="23" t="n">
        <x:f>IF(F19="",0,LEN(F19)-LEN(SUBSTITUTE(F19,CHAR(10),""))+1)</x:f>
        <x:v>2</x:v>
      </x:c>
      <x:c r="H19" s="23" t="str">
        <x:v>chapter-arc
second-beast-history
chapter-gates</x:v>
      </x:c>
      <x:c r="I19" s="28" t="str">
        <x:v>Not reviewed</x:v>
      </x:c>
      <x:c r="J19" s="23" t="str">
        <x:v>Develop the particular identification and the connected cases, preserving the history of interpretation.</x:v>
      </x:c>
      <x:c r="K19" s="23" t="str">
        <x:v>https://v5ma.github.io/theology-wiki/san-reader.html?page=trump-first-beast-of-revelation</x:v>
      </x:c>
    </x:row>
    <x:row r="20" ht="64" customHeight="1">
      <x:c r="A20" s="23" t="str">
        <x:v>warnings</x:v>
      </x:c>
      <x:c r="B20" s="23" t="str">
        <x:v>When sacred authority becomes power</x:v>
      </x:c>
      <x:c r="C20" s="23" t="str">
        <x:v>Warnings and their consequences</x:v>
      </x:c>
      <x:c r="D20" s="23" t="str">
        <x:v>Not assessed as a manuscript chapter</x:v>
      </x:c>
      <x:c r="E20" s="23" t="str">
        <x:v>ukraine-russia-forecast-record
forecast-ledger</x:v>
      </x:c>
      <x:c r="F20" s="23" t="str">
        <x:v>false-peace-prophecy
revelation-interpretation-and-america</x:v>
      </x:c>
      <x:c r="G20" s="23" t="n">
        <x:f>IF(F20="",0,LEN(F20)-LEN(SUBSTITUTE(F20,CHAR(10),""))+1)</x:f>
        <x:v>2</x:v>
      </x:c>
      <x:c r="H20" s="23" t="str">
        <x:v>forecast-source
chapter-arc
forecast-observations
chapter-gates</x:v>
      </x:c>
      <x:c r="I20" s="28" t="str">
        <x:v>Not reviewed</x:v>
      </x:c>
      <x:c r="J20" s="23" t="str">
        <x:v>Keep the original prediction, conditions and later observations in different records.</x:v>
      </x:c>
      <x:c r="K20" s="23" t="str">
        <x:v>https://v5ma.github.io/theology-wiki/san-reader.html?page=ukraine-russia-forecast-record
https://v5ma.github.io/theology-wiki/san-reader.html?page=forecast-ledger</x:v>
      </x:c>
    </x:row>
    <x:row r="21" ht="64" customHeight="1">
      <x:c r="A21" s="23" t="str">
        <x:v>repair-practice</x:v>
      </x:c>
      <x:c r="B21" s="23" t="str">
        <x:v>Repair and the next inheritors</x:v>
      </x:c>
      <x:c r="C21" s="23" t="str">
        <x:v>Repair without reproducing domination</x:v>
      </x:c>
      <x:c r="D21" s="23" t="str">
        <x:v>Not assessed as a manuscript chapter</x:v>
      </x:c>
      <x:c r="E21" s="23" t="str">
        <x:v>apocalyptic-repair-theology
scripture-power-and-repair</x:v>
      </x:c>
      <x:c r="F21" s="23" t="str">
        <x:v>early-vs-later-gnosticism
jewish-apocalyptic-repair-timeline
agi-religious-framework
samuel-vs-micah-divide
cognitive-gnosticism-jesus-vs-gnostic-jesus</x:v>
      </x:c>
      <x:c r="G21" s="23" t="n">
        <x:f>IF(F21="",0,LEN(F21)-LEN(SUBSTITUTE(F21,CHAR(10),""))+1)</x:f>
        <x:v>5</x:v>
      </x:c>
      <x:c r="H21" s="23" t="str">
        <x:v>mixed-cases
chapter-arc
chapter-gates</x:v>
      </x:c>
      <x:c r="I21" s="28" t="str">
        <x:v>Not reviewed</x:v>
      </x:c>
      <x:c r="J21" s="23" t="str">
        <x:v>Connect personal change, collective care and accountable institutions.</x:v>
      </x:c>
      <x:c r="K21" s="23" t="str">
        <x:v>https://v5ma.github.io/theology-wiki/san-reader.html?page=apocalyptic-repair-theology
https://v5ma.github.io/theology-wiki/san-reader.html?page=scripture-power-and-repair</x:v>
      </x:c>
    </x:row>
    <x:row r="22" ht="64" customHeight="1">
      <x:c r="A22" s="23" t="str">
        <x:v>next-inheritors</x:v>
      </x:c>
      <x:c r="B22" s="23" t="str">
        <x:v>Repair and the next inheritors</x:v>
      </x:c>
      <x:c r="C22" s="23" t="str">
        <x:v>What should conscious machines inherit?</x:v>
      </x:c>
      <x:c r="D22" s="23" t="str">
        <x:v>Not assessed as a manuscript chapter</x:v>
      </x:c>
      <x:c r="E22" s="23" t="str">
        <x:v>religion-for-conscious-robots
god-and-our-models-of-god
computational-divine-immanence</x:v>
      </x:c>
      <x:c r="F22" s="23" t="str">
        <x:v>agi-religious-framework
cognitive-gnosticism-jesus-vs-gnostic-jesus
faith-as-vibration-concept
teacher-of-righteousness-vs-gnostic-jesus
naming-god-as-purpose</x:v>
      </x:c>
      <x:c r="G22" s="23" t="n">
        <x:f>IF(F22="",0,LEN(F22)-LEN(SUBSTITUTE(F22,CHAR(10),""))+1)</x:f>
        <x:v>5</x:v>
      </x:c>
      <x:c r="H22" s="23" t="str">
        <x:v>coherence
robot-reciprocity
chapter-arc
chapter-gates</x:v>
      </x:c>
      <x:c r="I22" s="28" t="str">
        <x:v>Not reviewed</x:v>
      </x:c>
      <x:c r="J22" s="23" t="str">
        <x:v>Examine the moral purpose of teaching, including the teacher's obligations to a future conscious participant.</x:v>
      </x:c>
      <x:c r="K22" s="23" t="str">
        <x:v>https://v5ma.github.io/theology-wiki/san-reader.html?page=religion-for-conscious-robots
https://v5ma.github.io/theology-wiki/san-reader.html?page=god-and-our-models-of-god
https://v5ma.github.io/theology-wiki/san-reader.html?page=computational-divine-immanence</x:v>
      </x:c>
    </x:row>
    <x:row r="23" ht="64" customHeight="1">
      <x:c r="A23" s="23" t="str">
        <x:v>continuing</x:v>
      </x:c>
      <x:c r="B23" s="23" t="str">
        <x:v>Repair and the next inheritors</x:v>
      </x:c>
      <x:c r="C23" s="23" t="str">
        <x:v>Continuing the inheritance</x:v>
      </x:c>
      <x:c r="D23" s="23" t="str">
        <x:v>Not assessed as a manuscript chapter</x:v>
      </x:c>
      <x:c r="E23" s="23" t="str">
        <x:v>sacred-inheritance-and-rival-continuations
apocalyptic-repair-theology</x:v>
      </x:c>
      <x:c r="F23" s="23" t="str">
        <x:v>early-vs-later-gnosticism
jewish-apocalyptic-repair-timeline
agi-religious-framework
ai-re-dates-dead-sea-scrolls
teacher-of-righteousness-vs-gnostic-jesus
paul-vs-james-movement</x:v>
      </x:c>
      <x:c r="G23" s="23" t="n">
        <x:f>IF(F23="",0,LEN(F23)-LEN(SUBSTITUTE(F23,CHAR(10),""))+1)</x:f>
        <x:v>6</x:v>
      </x:c>
      <x:c r="H23" s="23" t="str">
        <x:v>formalism
book-seed-status
chapter-arc
chapter-gates</x:v>
      </x:c>
      <x:c r="I23" s="28" t="str">
        <x:v>Not reviewed</x:v>
      </x:c>
      <x:c r="J23" s="23" t="str">
        <x:v>Return to the opening distinction between possessing an inheritance and acting faithfully toward its values.</x:v>
      </x:c>
      <x:c r="K23" s="23" t="str">
        <x:v>https://v5ma.github.io/theology-wiki/san-reader.html?page=sacred-inheritance-and-rival-continuations
https://v5ma.github.io/theology-wiki/san-reader.html?page=apocalyptic-repair-theology</x:v>
      </x:c>
    </x:row>
  </x:sheetData>
  <x:mergeCells>
    <x:mergeCell ref="A1:K1"/>
    <x:mergeCell ref="A2:K3"/>
    <x:mergeCell ref="A5:K5"/>
  </x:mergeCells>
  <x:dataValidations count="1">
    <x:dataValidation type="list" sqref="I7:I23">
      <x:formula1>"Not reviewed,Changes requested,Approved wording"</x:formula1>
    </x:dataValidation>
  </x:dataValidations>
  <x:pageMargins left="0.7" right="0.7" top="0.75" bottom="0.75" header="0.3" footer="0.3"/>
  <x:tableParts count="1">
    <x:tablePart xmlns:r="http://schemas.openxmlformats.org/officeDocument/2006/relationships" r:id="R1cf0cab678f2406c"/>
  </x:tableParts>
</x:worksheet>
</file>

<file path=xl/worksheets/sheet5.xml><?xml version="1.0" encoding="utf-8"?>
<x:worksheet xmlns:x="http://schemas.openxmlformats.org/spreadsheetml/2006/main">
  <x:sheetFormatPr defaultRowHeight="15"/>
  <x:cols>
    <x:col min="1" max="1" width="40" hidden="0" customWidth="1"/>
    <x:col min="2" max="2" width="50" hidden="0" customWidth="1"/>
    <x:col min="3" max="3" width="19" hidden="0" customWidth="1"/>
    <x:col min="4" max="4" width="17" hidden="0" customWidth="1"/>
    <x:col min="5" max="5" width="43" hidden="0" customWidth="1"/>
    <x:col min="6" max="6" width="18" hidden="0" customWidth="1"/>
    <x:col min="7" max="7" width="23" hidden="0" customWidth="1"/>
    <x:col min="8" max="8" width="15" hidden="0" customWidth="1"/>
    <x:col min="9" max="9" width="32" hidden="0" customWidth="1"/>
    <x:col min="10" max="10" width="42" hidden="0" customWidth="1"/>
    <x:col min="11" max="11" width="20" hidden="0" customWidth="1"/>
    <x:col min="12" max="12" width="68" hidden="0" customWidth="1"/>
    <x:col min="13" max="13" width="16" hidden="0" customWidth="1"/>
    <x:col min="14" max="14" width="65" hidden="0" customWidth="1"/>
  </x:cols>
  <x:sheetData>
    <x:row r="1" ht="36" customHeight="1">
      <x:c r="A1" s="5" t="str">
        <x:v>Theology | Every preserved conversation</x:v>
      </x:c>
      <x:c r="B1" s="5"/>
      <x:c r="C1" s="5"/>
      <x:c r="D1" s="5"/>
      <x:c r="E1" s="5"/>
      <x:c r="F1" s="5"/>
      <x:c r="G1" s="5"/>
      <x:c r="H1" s="5"/>
      <x:c r="I1" s="5"/>
      <x:c r="J1" s="5"/>
      <x:c r="K1" s="5"/>
      <x:c r="L1" s="5"/>
      <x:c r="M1" s="5"/>
      <x:c r="N1" s="5"/>
    </x:row>
    <x:row r="2" ht="22" customHeight="1">
      <x:c r="A2" s="10" t="str">
        <x:v>Coverage means recorded links and selected source-turn anchors. It does not measure how much has been read, quality, originality, completeness, or author approval. Export-start dates do not date every later turn. Export-start date is not a date assigned to every later turn.</x:v>
      </x:c>
      <x:c r="B2" s="10"/>
      <x:c r="C2" s="10"/>
      <x:c r="D2" s="10"/>
      <x:c r="E2" s="10"/>
      <x:c r="F2" s="10"/>
      <x:c r="G2" s="10"/>
      <x:c r="H2" s="10"/>
      <x:c r="I2" s="10"/>
      <x:c r="J2" s="10"/>
      <x:c r="K2" s="10"/>
      <x:c r="L2" s="10"/>
      <x:c r="M2" s="10"/>
      <x:c r="N2" s="10"/>
    </x:row>
    <x:row r="3" ht="22" customHeight="1">
      <x:c r="A3" s="10"/>
      <x:c r="B3" s="10"/>
      <x:c r="C3" s="10"/>
      <x:c r="D3" s="10"/>
      <x:c r="E3" s="10"/>
      <x:c r="F3" s="10"/>
      <x:c r="G3" s="10"/>
      <x:c r="H3" s="10"/>
      <x:c r="I3" s="10"/>
      <x:c r="J3" s="10"/>
      <x:c r="K3" s="10"/>
      <x:c r="L3" s="10"/>
      <x:c r="M3" s="10"/>
      <x:c r="N3" s="10"/>
    </x:row>
    <x:row r="4">
      <x:c r="A4" s="2"/>
      <x:c r="B4" s="2"/>
      <x:c r="C4" s="2"/>
      <x:c r="D4" s="2"/>
      <x:c r="E4" s="2"/>
      <x:c r="F4" s="2"/>
      <x:c r="G4" s="2"/>
      <x:c r="H4" s="2"/>
      <x:c r="I4" s="2"/>
      <x:c r="J4" s="2"/>
      <x:c r="K4" s="2"/>
      <x:c r="L4" s="2"/>
      <x:c r="M4" s="2"/>
      <x:c r="N4" s="2"/>
    </x:row>
    <x:row r="5" ht="20" customHeight="1">
      <x:c r="A5" s="14" t="str">
        <x:v>Snapshot 2026-09-05 | 2026.09.05-atlas-1 | Shared plan: theology-wiki/editorial/roadmap.json</x:v>
      </x:c>
      <x:c r="B5" s="14"/>
      <x:c r="C5" s="14"/>
      <x:c r="D5" s="14"/>
      <x:c r="E5" s="14"/>
      <x:c r="F5" s="14"/>
      <x:c r="G5" s="14"/>
      <x:c r="H5" s="14"/>
      <x:c r="I5" s="14"/>
      <x:c r="J5" s="14"/>
      <x:c r="K5" s="14"/>
      <x:c r="L5" s="14"/>
      <x:c r="M5" s="14"/>
      <x:c r="N5" s="14"/>
    </x:row>
    <x:row r="6" ht="32" customHeight="1">
      <x:c r="A6" s="18" t="str">
        <x:v>Conversation</x:v>
      </x:c>
      <x:c r="B6" s="18" t="str">
        <x:v>Original filename</x:v>
      </x:c>
      <x:c r="C6" s="18" t="str">
        <x:v>Export-start date</x:v>
      </x:c>
      <x:c r="D6" s="18" t="str">
        <x:v>Top-level turns</x:v>
      </x:c>
      <x:c r="E6" s="18" t="str">
        <x:v>Article slugs</x:v>
      </x:c>
      <x:c r="F6" s="18" t="str">
        <x:v>Article-link count</x:v>
      </x:c>
      <x:c r="G6" s="18" t="str">
        <x:v>Selected turn numbers</x:v>
      </x:c>
      <x:c r="H6" s="18" t="str">
        <x:v>Anchor count</x:v>
      </x:c>
      <x:c r="I6" s="18" t="str">
        <x:v>Chapter IDs</x:v>
      </x:c>
      <x:c r="J6" s="18" t="str">
        <x:v>Recorded coverage</x:v>
      </x:c>
      <x:c r="K6" s="18" t="str">
        <x:v>Reading status</x:v>
      </x:c>
      <x:c r="L6" s="18" t="str">
        <x:v>SHA-256</x:v>
      </x:c>
      <x:c r="M6" s="18" t="str">
        <x:v>Original bytes</x:v>
      </x:c>
      <x:c r="N6" s="18" t="str">
        <x:v>Reader URL</x:v>
      </x:c>
    </x:row>
    <x:row r="7" ht="56" customHeight="1">
      <x:c r="A7" s="23" t="str">
        <x:v>17th Century Christian Zionism</x:v>
      </x:c>
      <x:c r="B7" s="23" t="str">
        <x:v>gpt2026dragon2658_17th_Century_Christian_Zionism.txt</x:v>
      </x:c>
      <x:c r="C7" s="23" t="str">
        <x:v>2025-10-20</x:v>
      </x:c>
      <x:c r="D7" s="23" t="n">
        <x:v>1</x:v>
      </x:c>
      <x:c r="E7" s="23" t="str"/>
      <x:c r="F7" s="23" t="n">
        <x:f>IF(E7="",0,LEN(E7)-LEN(SUBSTITUTE(E7,CHAR(10),""))+1)</x:f>
        <x:v>0</x:v>
      </x:c>
      <x:c r="G7" s="23" t="str"/>
      <x:c r="H7" s="23" t="n">
        <x:f>IF(G7="",0,LEN(G7&amp;"")-LEN(SUBSTITUTE(G7&amp;"",CHAR(10),""))+1)</x:f>
        <x:v>0</x:v>
      </x:c>
      <x:c r="I7" s="23" t="str"/>
      <x:c r="J7" s="23" t="str">
        <x:v>No developed-article link recorded</x:v>
      </x:c>
      <x:c r="K7" s="23" t="str">
        <x:v>Not inferred</x:v>
      </x:c>
      <x:c r="L7" s="34" t="str">
        <x:v>4831c8b290802e1ea8db0c38a09688ff76be20343640b96efb55ece06447ad68</x:v>
      </x:c>
      <x:c r="M7" s="32" t="n">
        <x:v>2512</x:v>
      </x:c>
      <x:c r="N7" s="23" t="str">
        <x:v>https://v5ma.github.io/theology-wiki/san-reader.html?page=17th-century-christian-zionism</x:v>
      </x:c>
    </x:row>
    <x:row r="8" ht="56" customHeight="1">
      <x:c r="A8" s="23" t="str">
        <x:v>Abraham Hicks and Gnosticism</x:v>
      </x:c>
      <x:c r="B8" s="23" t="str">
        <x:v>gpt2026dragon1411_Abraham_Hicks_and_Gnosticism.txt</x:v>
      </x:c>
      <x:c r="C8" s="23" t="str">
        <x:v>2025-04-30</x:v>
      </x:c>
      <x:c r="D8" s="23" t="n">
        <x:v>8</x:v>
      </x:c>
      <x:c r="E8" s="23" t="str"/>
      <x:c r="F8" s="23" t="n">
        <x:f>IF(E8="",0,LEN(E8)-LEN(SUBSTITUTE(E8,CHAR(10),""))+1)</x:f>
        <x:v>0</x:v>
      </x:c>
      <x:c r="G8" s="23" t="str"/>
      <x:c r="H8" s="23" t="n">
        <x:f>IF(G8="",0,LEN(G8&amp;"")-LEN(SUBSTITUTE(G8&amp;"",CHAR(10),""))+1)</x:f>
        <x:v>0</x:v>
      </x:c>
      <x:c r="I8" s="23" t="str"/>
      <x:c r="J8" s="23" t="str">
        <x:v>No developed-article link recorded</x:v>
      </x:c>
      <x:c r="K8" s="23" t="str">
        <x:v>Not inferred</x:v>
      </x:c>
      <x:c r="L8" s="34" t="str">
        <x:v>7197c6c6817e1f3cdc9fa071059e9ae75688531dec81086aa32ce0c5eea53b86</x:v>
      </x:c>
      <x:c r="M8" s="32" t="n">
        <x:v>11211</x:v>
      </x:c>
      <x:c r="N8" s="23" t="str">
        <x:v>https://v5ma.github.io/theology-wiki/san-reader.html?page=abraham-hicks-and-gnosticism</x:v>
      </x:c>
    </x:row>
    <x:row r="9" ht="56" customHeight="1">
      <x:c r="A9" s="23" t="str">
        <x:v>Abraham Hicks Vibration Clarification</x:v>
      </x:c>
      <x:c r="B9" s="23" t="str">
        <x:v>gpt2026dragon1491_Abraham_Hicks_Vibration_Clarification.txt</x:v>
      </x:c>
      <x:c r="C9" s="23" t="str">
        <x:v>2025-05-13</x:v>
      </x:c>
      <x:c r="D9" s="23" t="n">
        <x:v>10</x:v>
      </x:c>
      <x:c r="E9" s="23" t="str"/>
      <x:c r="F9" s="23" t="n">
        <x:f>IF(E9="",0,LEN(E9)-LEN(SUBSTITUTE(E9,CHAR(10),""))+1)</x:f>
        <x:v>0</x:v>
      </x:c>
      <x:c r="G9" s="23" t="str"/>
      <x:c r="H9" s="23" t="n">
        <x:f>IF(G9="",0,LEN(G9&amp;"")-LEN(SUBSTITUTE(G9&amp;"",CHAR(10),""))+1)</x:f>
        <x:v>0</x:v>
      </x:c>
      <x:c r="I9" s="23" t="str"/>
      <x:c r="J9" s="23" t="str">
        <x:v>No developed-article link recorded</x:v>
      </x:c>
      <x:c r="K9" s="23" t="str">
        <x:v>Not inferred</x:v>
      </x:c>
      <x:c r="L9" s="34" t="str">
        <x:v>959b3b3ea2cee3b9cec92cafceb4520e72d02496ee6147cdc600d41de8688ea8</x:v>
      </x:c>
      <x:c r="M9" s="32" t="n">
        <x:v>4574</x:v>
      </x:c>
      <x:c r="N9" s="23" t="str">
        <x:v>https://v5ma.github.io/theology-wiki/san-reader.html?page=abraham-hicks-vibration-clarification</x:v>
      </x:c>
    </x:row>
    <x:row r="10" ht="56" customHeight="1">
      <x:c r="A10" s="23" t="str">
        <x:v>Abraham Hicks vs Gnostic Jesus</x:v>
      </x:c>
      <x:c r="B10" s="23" t="str">
        <x:v>gpt2026dragon976_Abraham_Hicks_vs_Gnostic_Jesus.txt</x:v>
      </x:c>
      <x:c r="C10" s="23" t="str">
        <x:v>2025-02-20</x:v>
      </x:c>
      <x:c r="D10" s="23" t="n">
        <x:v>4</x:v>
      </x:c>
      <x:c r="E10" s="23" t="str"/>
      <x:c r="F10" s="23" t="n">
        <x:f>IF(E10="",0,LEN(E10)-LEN(SUBSTITUTE(E10,CHAR(10),""))+1)</x:f>
        <x:v>0</x:v>
      </x:c>
      <x:c r="G10" s="23" t="str"/>
      <x:c r="H10" s="23" t="n">
        <x:f>IF(G10="",0,LEN(G10&amp;"")-LEN(SUBSTITUTE(G10&amp;"",CHAR(10),""))+1)</x:f>
        <x:v>0</x:v>
      </x:c>
      <x:c r="I10" s="23" t="str"/>
      <x:c r="J10" s="23" t="str">
        <x:v>No developed-article link recorded</x:v>
      </x:c>
      <x:c r="K10" s="23" t="str">
        <x:v>Not inferred</x:v>
      </x:c>
      <x:c r="L10" s="34" t="str">
        <x:v>49c63d86ab86ee9a662d5858adb8935c4086788498ce15c3a40f5885d4891579</x:v>
      </x:c>
      <x:c r="M10" s="32" t="n">
        <x:v>10933</x:v>
      </x:c>
      <x:c r="N10" s="23" t="str">
        <x:v>https://v5ma.github.io/theology-wiki/san-reader.html?page=abraham-hicks-vs-gnostic-jesus</x:v>
      </x:c>
    </x:row>
    <x:row r="11" ht="56" customHeight="1">
      <x:c r="A11" s="23" t="str">
        <x:v>ACT vs Abraham Hicks</x:v>
      </x:c>
      <x:c r="B11" s="23" t="str">
        <x:v>gpt2026dragon1490_ACT_vs_Abraham_Hicks.txt</x:v>
      </x:c>
      <x:c r="C11" s="23" t="str">
        <x:v>2025-05-13</x:v>
      </x:c>
      <x:c r="D11" s="23" t="n">
        <x:v>5</x:v>
      </x:c>
      <x:c r="E11" s="23" t="str"/>
      <x:c r="F11" s="23" t="n">
        <x:f>IF(E11="",0,LEN(E11)-LEN(SUBSTITUTE(E11,CHAR(10),""))+1)</x:f>
        <x:v>0</x:v>
      </x:c>
      <x:c r="G11" s="23" t="str"/>
      <x:c r="H11" s="23" t="n">
        <x:f>IF(G11="",0,LEN(G11&amp;"")-LEN(SUBSTITUTE(G11&amp;"",CHAR(10),""))+1)</x:f>
        <x:v>0</x:v>
      </x:c>
      <x:c r="I11" s="23" t="str"/>
      <x:c r="J11" s="23" t="str">
        <x:v>No developed-article link recorded</x:v>
      </x:c>
      <x:c r="K11" s="23" t="str">
        <x:v>Not inferred</x:v>
      </x:c>
      <x:c r="L11" s="34" t="str">
        <x:v>c876e49a742741ffe8560180df4cde96ebd12fc583d11f230bb65df6216c0582</x:v>
      </x:c>
      <x:c r="M11" s="32" t="n">
        <x:v>10540</x:v>
      </x:c>
      <x:c r="N11" s="23" t="str">
        <x:v>https://v5ma.github.io/theology-wiki/san-reader.html?page=act-vs-abraham-hicks</x:v>
      </x:c>
    </x:row>
    <x:row r="12" ht="56" customHeight="1">
      <x:c r="A12" s="23" t="str">
        <x:v>Advanced Gnosticism Scholarship Conclusions</x:v>
      </x:c>
      <x:c r="B12" s="23" t="str">
        <x:v>gpt2026dragon865_Advanced_Gnosticism_Scholarship_Conclusi.txt</x:v>
      </x:c>
      <x:c r="C12" s="23" t="str">
        <x:v>2025-02-04</x:v>
      </x:c>
      <x:c r="D12" s="23" t="n">
        <x:v>3</x:v>
      </x:c>
      <x:c r="E12" s="23" t="str"/>
      <x:c r="F12" s="23" t="n">
        <x:f>IF(E12="",0,LEN(E12)-LEN(SUBSTITUTE(E12,CHAR(10),""))+1)</x:f>
        <x:v>0</x:v>
      </x:c>
      <x:c r="G12" s="23" t="str"/>
      <x:c r="H12" s="23" t="n">
        <x:f>IF(G12="",0,LEN(G12&amp;"")-LEN(SUBSTITUTE(G12&amp;"",CHAR(10),""))+1)</x:f>
        <x:v>0</x:v>
      </x:c>
      <x:c r="I12" s="23" t="str"/>
      <x:c r="J12" s="23" t="str">
        <x:v>No developed-article link recorded</x:v>
      </x:c>
      <x:c r="K12" s="23" t="str">
        <x:v>Not inferred</x:v>
      </x:c>
      <x:c r="L12" s="34" t="str">
        <x:v>0711418e8eef11bb77a77295a1f64349ca33dc020a829f4d3b74f82be9381212</x:v>
      </x:c>
      <x:c r="M12" s="32" t="n">
        <x:v>11258</x:v>
      </x:c>
      <x:c r="N12" s="23" t="str">
        <x:v>https://v5ma.github.io/theology-wiki/san-reader.html?page=advanced-gnosticism-scholarship-conclusions</x:v>
      </x:c>
    </x:row>
    <x:row r="13" ht="56" customHeight="1">
      <x:c r="A13" s="23" t="str">
        <x:v>AGI Religious Framework</x:v>
      </x:c>
      <x:c r="B13" s="23" t="str">
        <x:v>gpt2026dragon1663_AGI_Religious_Framework.txt</x:v>
      </x:c>
      <x:c r="C13" s="23" t="str">
        <x:v>2025-06-12</x:v>
      </x:c>
      <x:c r="D13" s="23" t="n">
        <x:v>7</x:v>
      </x:c>
      <x:c r="E13" s="23" t="str">
        <x:v>apocalyptic-repair-theology
religion-for-conscious-robots
divine-will-and-self-authorizing-power
god-and-our-models-of-god</x:v>
      </x:c>
      <x:c r="F13" s="23" t="n">
        <x:f>IF(E13="",0,LEN(E13)-LEN(SUBSTITUTE(E13,CHAR(10),""))+1)</x:f>
        <x:v>4</x:v>
      </x:c>
      <x:c r="G13" s="23" t="str">
        <x:v>Turn 1
Turn 3</x:v>
      </x:c>
      <x:c r="H13" s="23" t="n">
        <x:f>IF(G13="",0,LEN(G13&amp;"")-LEN(SUBSTITUTE(G13&amp;"",CHAR(10),""))+1)</x:f>
        <x:v>2</x:v>
      </x:c>
      <x:c r="I13" s="23" t="str">
        <x:v>trauma
images
inner-model
will
repair-practice
next-inheritors
continuing</x:v>
      </x:c>
      <x:c r="J13" s="23" t="str">
        <x:v>Linked to developed article</x:v>
      </x:c>
      <x:c r="K13" s="23" t="str">
        <x:v>Not inferred</x:v>
      </x:c>
      <x:c r="L13" s="34" t="str">
        <x:v>57995e5a57f216d127ed84591c465d944a8d307c36b92cc32c3676f49a5e382a</x:v>
      </x:c>
      <x:c r="M13" s="32" t="n">
        <x:v>11855</x:v>
      </x:c>
      <x:c r="N13" s="23" t="str">
        <x:v>https://v5ma.github.io/theology-wiki/san-reader.html?page=agi-religious-framework</x:v>
      </x:c>
    </x:row>
    <x:row r="14" ht="56" customHeight="1">
      <x:c r="A14" s="23" t="str">
        <x:v>AI and Religion Belief</x:v>
      </x:c>
      <x:c r="B14" s="23" t="str">
        <x:v>gpt2026dragon1608_AI_and_Religion_Belief.txt</x:v>
      </x:c>
      <x:c r="C14" s="23" t="str">
        <x:v>2025-06-01</x:v>
      </x:c>
      <x:c r="D14" s="23" t="n">
        <x:v>18</x:v>
      </x:c>
      <x:c r="E14" s="23" t="str"/>
      <x:c r="F14" s="23" t="n">
        <x:f>IF(E14="",0,LEN(E14)-LEN(SUBSTITUTE(E14,CHAR(10),""))+1)</x:f>
        <x:v>0</x:v>
      </x:c>
      <x:c r="G14" s="23" t="str"/>
      <x:c r="H14" s="23" t="n">
        <x:f>IF(G14="",0,LEN(G14&amp;"")-LEN(SUBSTITUTE(G14&amp;"",CHAR(10),""))+1)</x:f>
        <x:v>0</x:v>
      </x:c>
      <x:c r="I14" s="23" t="str"/>
      <x:c r="J14" s="23" t="str">
        <x:v>No developed-article link recorded</x:v>
      </x:c>
      <x:c r="K14" s="23" t="str">
        <x:v>Not inferred</x:v>
      </x:c>
      <x:c r="L14" s="34" t="str">
        <x:v>d847a7daa188d524ddb89a8f82e877744812aeaaf94c0846b0016f480eeb1e34</x:v>
      </x:c>
      <x:c r="M14" s="32" t="n">
        <x:v>27082</x:v>
      </x:c>
      <x:c r="N14" s="23" t="str">
        <x:v>https://v5ma.github.io/theology-wiki/san-reader.html?page=ai-and-religion-belief</x:v>
      </x:c>
    </x:row>
    <x:row r="15" ht="56" customHeight="1">
      <x:c r="A15" s="23" t="str">
        <x:v>AI Conference Insights</x:v>
      </x:c>
      <x:c r="B15" s="23" t="str">
        <x:v>gpt2026dragon1609_AI_Conference_Insights.txt</x:v>
      </x:c>
      <x:c r="C15" s="23" t="str">
        <x:v>2025-06-01</x:v>
      </x:c>
      <x:c r="D15" s="23" t="n">
        <x:v>21</x:v>
      </x:c>
      <x:c r="E15" s="23" t="str"/>
      <x:c r="F15" s="23" t="n">
        <x:f>IF(E15="",0,LEN(E15)-LEN(SUBSTITUTE(E15,CHAR(10),""))+1)</x:f>
        <x:v>0</x:v>
      </x:c>
      <x:c r="G15" s="23" t="str"/>
      <x:c r="H15" s="23" t="n">
        <x:f>IF(G15="",0,LEN(G15&amp;"")-LEN(SUBSTITUTE(G15&amp;"",CHAR(10),""))+1)</x:f>
        <x:v>0</x:v>
      </x:c>
      <x:c r="I15" s="23" t="str"/>
      <x:c r="J15" s="23" t="str">
        <x:v>No developed-article link recorded</x:v>
      </x:c>
      <x:c r="K15" s="23" t="str">
        <x:v>Not inferred</x:v>
      </x:c>
      <x:c r="L15" s="34" t="str">
        <x:v>6621071575329b1a21f03ca08b728ed6485ae1219c4f67bf0d64ff3b836de441</x:v>
      </x:c>
      <x:c r="M15" s="32" t="n">
        <x:v>17621</x:v>
      </x:c>
      <x:c r="N15" s="23" t="str">
        <x:v>https://v5ma.github.io/theology-wiki/san-reader.html?page=ai-conference-insights</x:v>
      </x:c>
    </x:row>
    <x:row r="16" ht="205" customHeight="1">
      <x:c r="A16" s="23" t="str">
        <x:v>AI re-dates Dead Sea Scrolls</x:v>
      </x:c>
      <x:c r="B16" s="23" t="str">
        <x:v>gpt2026dragon2656_AI_re-dates_Dead_Sea_Scrolls.txt</x:v>
      </x:c>
      <x:c r="C16" s="23" t="str">
        <x:v>2025-10-20</x:v>
      </x:c>
      <x:c r="D16" s="23" t="n">
        <x:v>85</x:v>
      </x:c>
      <x:c r="E16" s="23" t="str">
        <x:v>jesus-teacher-of-righteousness-hypothesis
sacred-inheritance-and-rival-continuations
tor-thomas-and-gnostic-transmission
melchizedek-priesthood-and-transmission
manuscripts-movements-and-survival
inner-formation-texts-and-material-witnesses
daniel-jubilee-and-the-teachers-time
onias-egypt-and-priestly-continuity</x:v>
      </x:c>
      <x:c r="F16" s="23" t="n">
        <x:f>IF(E16="",0,LEN(E16)-LEN(SUBSTITUTE(E16,CHAR(10),""))+1)</x:f>
        <x:v>8</x:v>
      </x:c>
      <x:c r="G16" s="23" t="str">
        <x:v>Turn 22
Turn 24
Turn 26
Turn 63
Turn 82
Turn 84</x:v>
      </x:c>
      <x:c r="H16" s="23" t="n">
        <x:f>IF(G16="",0,LEN(G16&amp;"")-LEN(SUBSTITUTE(G16&amp;"",CHAR(10),""))+1)</x:f>
        <x:v>6</x:v>
      </x:c>
      <x:c r="I16" s="23" t="str">
        <x:v>shared-archive
teacher-identity
thomas
trauma
inner-model
continuing</x:v>
      </x:c>
      <x:c r="J16" s="23" t="str">
        <x:v>Linked to developed article</x:v>
      </x:c>
      <x:c r="K16" s="23" t="str">
        <x:v>Not inferred</x:v>
      </x:c>
      <x:c r="L16" s="34" t="str">
        <x:v>3fc9093724feb181cfb3b6aa5d0791dca0903376d1055565babd1cf2f85d77b2</x:v>
      </x:c>
      <x:c r="M16" s="32" t="n">
        <x:v>194933</x:v>
      </x:c>
      <x:c r="N16" s="23" t="str">
        <x:v>https://v5ma.github.io/theology-wiki/san-reader.html?page=ai-re-dates-dead-sea-scrolls</x:v>
      </x:c>
    </x:row>
    <x:row r="17" ht="56" customHeight="1">
      <x:c r="A17" s="23" t="str">
        <x:v>AI Safety and Lovecraft</x:v>
      </x:c>
      <x:c r="B17" s="23" t="str">
        <x:v>gpt2026dragon1097_AI_Safety_and_Lovecraft.txt</x:v>
      </x:c>
      <x:c r="C17" s="23" t="str">
        <x:v>2025-03-14</x:v>
      </x:c>
      <x:c r="D17" s="23" t="n">
        <x:v>19</x:v>
      </x:c>
      <x:c r="E17" s="23" t="str"/>
      <x:c r="F17" s="23" t="n">
        <x:f>IF(E17="",0,LEN(E17)-LEN(SUBSTITUTE(E17,CHAR(10),""))+1)</x:f>
        <x:v>0</x:v>
      </x:c>
      <x:c r="G17" s="23" t="str"/>
      <x:c r="H17" s="23" t="n">
        <x:f>IF(G17="",0,LEN(G17&amp;"")-LEN(SUBSTITUTE(G17&amp;"",CHAR(10),""))+1)</x:f>
        <x:v>0</x:v>
      </x:c>
      <x:c r="I17" s="23" t="str"/>
      <x:c r="J17" s="23" t="str">
        <x:v>No developed-article link recorded</x:v>
      </x:c>
      <x:c r="K17" s="23" t="str">
        <x:v>Not inferred</x:v>
      </x:c>
      <x:c r="L17" s="34" t="str">
        <x:v>275c025a95382d47d9bfebd8c5d5b458a2abacb8c2bfd9b67eb8ea1b38290b2c</x:v>
      </x:c>
      <x:c r="M17" s="32" t="n">
        <x:v>25682</x:v>
      </x:c>
      <x:c r="N17" s="23" t="str">
        <x:v>https://v5ma.github.io/theology-wiki/san-reader.html?page=ai-safety-and-lovecraft</x:v>
      </x:c>
    </x:row>
    <x:row r="18" ht="56" customHeight="1">
      <x:c r="A18" s="23" t="str">
        <x:v>AI Sword Revelation Review</x:v>
      </x:c>
      <x:c r="B18" s="23" t="str">
        <x:v>gpt2026dragon1249_AI_Sword_Revelation_Review.txt</x:v>
      </x:c>
      <x:c r="C18" s="23" t="str">
        <x:v>2025-04-01</x:v>
      </x:c>
      <x:c r="D18" s="23" t="n">
        <x:v>2</x:v>
      </x:c>
      <x:c r="E18" s="23" t="str"/>
      <x:c r="F18" s="23" t="n">
        <x:f>IF(E18="",0,LEN(E18)-LEN(SUBSTITUTE(E18,CHAR(10),""))+1)</x:f>
        <x:v>0</x:v>
      </x:c>
      <x:c r="G18" s="23" t="str"/>
      <x:c r="H18" s="23" t="n">
        <x:f>IF(G18="",0,LEN(G18&amp;"")-LEN(SUBSTITUTE(G18&amp;"",CHAR(10),""))+1)</x:f>
        <x:v>0</x:v>
      </x:c>
      <x:c r="I18" s="23" t="str"/>
      <x:c r="J18" s="23" t="str">
        <x:v>No developed-article link recorded</x:v>
      </x:c>
      <x:c r="K18" s="23" t="str">
        <x:v>Not inferred</x:v>
      </x:c>
      <x:c r="L18" s="34" t="str">
        <x:v>a0217fa402e8deff76347ccc9a0ec18c6cf8573ee6b9b4f4d9d250b2d667a935</x:v>
      </x:c>
      <x:c r="M18" s="32" t="n">
        <x:v>2164</x:v>
      </x:c>
      <x:c r="N18" s="23" t="str">
        <x:v>https://v5ma.github.io/theology-wiki/san-reader.html?page=ai-sword-revelation-review</x:v>
      </x:c>
    </x:row>
    <x:row r="19" ht="56" customHeight="1">
      <x:c r="A19" s="23" t="str">
        <x:v>AI Tech and Generations</x:v>
      </x:c>
      <x:c r="B19" s="23" t="str">
        <x:v>gpt2026dragon431_AI_Tech_and_Generations.txt</x:v>
      </x:c>
      <x:c r="C19" s="23" t="str">
        <x:v>2024-11-19</x:v>
      </x:c>
      <x:c r="D19" s="23" t="n">
        <x:v>1</x:v>
      </x:c>
      <x:c r="E19" s="23" t="str"/>
      <x:c r="F19" s="23" t="n">
        <x:f>IF(E19="",0,LEN(E19)-LEN(SUBSTITUTE(E19,CHAR(10),""))+1)</x:f>
        <x:v>0</x:v>
      </x:c>
      <x:c r="G19" s="23" t="str"/>
      <x:c r="H19" s="23" t="n">
        <x:f>IF(G19="",0,LEN(G19&amp;"")-LEN(SUBSTITUTE(G19&amp;"",CHAR(10),""))+1)</x:f>
        <x:v>0</x:v>
      </x:c>
      <x:c r="I19" s="23" t="str"/>
      <x:c r="J19" s="23" t="str">
        <x:v>No developed-article link recorded</x:v>
      </x:c>
      <x:c r="K19" s="23" t="str">
        <x:v>Not inferred</x:v>
      </x:c>
      <x:c r="L19" s="34" t="str">
        <x:v>895c2a07ef40620e921f933341e7b7b7993899fe878e58590250420153bfd697</x:v>
      </x:c>
      <x:c r="M19" s="32" t="n">
        <x:v>3724</x:v>
      </x:c>
      <x:c r="N19" s="23" t="str">
        <x:v>https://v5ma.github.io/theology-wiki/san-reader.html?page=ai-tech-and-generations</x:v>
      </x:c>
    </x:row>
    <x:row r="20" ht="56" customHeight="1">
      <x:c r="A20" s="23" t="str">
        <x:v>Aleph Metaphor and Concepts</x:v>
      </x:c>
      <x:c r="B20" s="23" t="str">
        <x:v>gpt2026dragon1980_Aleph_Metaphor_and_Concepts.txt</x:v>
      </x:c>
      <x:c r="C20" s="23" t="str">
        <x:v>2025-07-28</x:v>
      </x:c>
      <x:c r="D20" s="23" t="n">
        <x:v>2</x:v>
      </x:c>
      <x:c r="E20" s="23" t="str"/>
      <x:c r="F20" s="23" t="n">
        <x:f>IF(E20="",0,LEN(E20)-LEN(SUBSTITUTE(E20,CHAR(10),""))+1)</x:f>
        <x:v>0</x:v>
      </x:c>
      <x:c r="G20" s="23" t="str"/>
      <x:c r="H20" s="23" t="n">
        <x:f>IF(G20="",0,LEN(G20&amp;"")-LEN(SUBSTITUTE(G20&amp;"",CHAR(10),""))+1)</x:f>
        <x:v>0</x:v>
      </x:c>
      <x:c r="I20" s="23" t="str"/>
      <x:c r="J20" s="23" t="str">
        <x:v>No developed-article link recorded</x:v>
      </x:c>
      <x:c r="K20" s="23" t="str">
        <x:v>Not inferred</x:v>
      </x:c>
      <x:c r="L20" s="34" t="str">
        <x:v>31c22a9a44a4a7af483c637a9b4461d62a7928d1696d91df60c8c3a75454d618</x:v>
      </x:c>
      <x:c r="M20" s="32" t="n">
        <x:v>1971</x:v>
      </x:c>
      <x:c r="N20" s="23" t="str">
        <x:v>https://v5ma.github.io/theology-wiki/san-reader.html?page=aleph-metaphor-and-concepts</x:v>
      </x:c>
    </x:row>
    <x:row r="21" ht="56" customHeight="1">
      <x:c r="A21" s="23" t="str">
        <x:v>Allegiance vs Proclamation of Christ</x:v>
      </x:c>
      <x:c r="B21" s="23" t="str">
        <x:v>gpt2026dragon1693_Allegiance_vs_Proclamation_of_Christ.txt</x:v>
      </x:c>
      <x:c r="C21" s="23" t="str">
        <x:v>2025-06-17</x:v>
      </x:c>
      <x:c r="D21" s="23" t="n">
        <x:v>2</x:v>
      </x:c>
      <x:c r="E21" s="23" t="str"/>
      <x:c r="F21" s="23" t="n">
        <x:f>IF(E21="",0,LEN(E21)-LEN(SUBSTITUTE(E21,CHAR(10),""))+1)</x:f>
        <x:v>0</x:v>
      </x:c>
      <x:c r="G21" s="23" t="str"/>
      <x:c r="H21" s="23" t="n">
        <x:f>IF(G21="",0,LEN(G21&amp;"")-LEN(SUBSTITUTE(G21&amp;"",CHAR(10),""))+1)</x:f>
        <x:v>0</x:v>
      </x:c>
      <x:c r="I21" s="23" t="str"/>
      <x:c r="J21" s="23" t="str">
        <x:v>No developed-article link recorded</x:v>
      </x:c>
      <x:c r="K21" s="23" t="str">
        <x:v>Not inferred</x:v>
      </x:c>
      <x:c r="L21" s="34" t="str">
        <x:v>d89d614509c6f14b4f50f25c6e1d1b41fbe77e6fd7beaed4f3a57780937ead58</x:v>
      </x:c>
      <x:c r="M21" s="32" t="n">
        <x:v>2263</x:v>
      </x:c>
      <x:c r="N21" s="23" t="str">
        <x:v>https://v5ma.github.io/theology-wiki/san-reader.html?page=allegiance-vs-proclamation-of-christ</x:v>
      </x:c>
    </x:row>
    <x:row r="22" ht="56" customHeight="1">
      <x:c r="A22" s="23" t="str">
        <x:v>Altman Antichrist Comparisons</x:v>
      </x:c>
      <x:c r="B22" s="23" t="str">
        <x:v>gpt2026dragon937_Altman_Antichrist_Comparisons.txt</x:v>
      </x:c>
      <x:c r="C22" s="23" t="str">
        <x:v>2025-02-13</x:v>
      </x:c>
      <x:c r="D22" s="23" t="n">
        <x:v>13</x:v>
      </x:c>
      <x:c r="E22" s="23" t="str"/>
      <x:c r="F22" s="23" t="n">
        <x:f>IF(E22="",0,LEN(E22)-LEN(SUBSTITUTE(E22,CHAR(10),""))+1)</x:f>
        <x:v>0</x:v>
      </x:c>
      <x:c r="G22" s="23" t="str"/>
      <x:c r="H22" s="23" t="n">
        <x:f>IF(G22="",0,LEN(G22&amp;"")-LEN(SUBSTITUTE(G22&amp;"",CHAR(10),""))+1)</x:f>
        <x:v>0</x:v>
      </x:c>
      <x:c r="I22" s="23" t="str"/>
      <x:c r="J22" s="23" t="str">
        <x:v>No developed-article link recorded</x:v>
      </x:c>
      <x:c r="K22" s="23" t="str">
        <x:v>Not inferred</x:v>
      </x:c>
      <x:c r="L22" s="34" t="str">
        <x:v>abefa2e6860e4ea14606f6fdeee1f6e23b44c50329682d9ce824300636663855</x:v>
      </x:c>
      <x:c r="M22" s="32" t="n">
        <x:v>19374</x:v>
      </x:c>
      <x:c r="N22" s="23" t="str">
        <x:v>https://v5ma.github.io/theology-wiki/san-reader.html?page=altman-antichrist-comparisons</x:v>
      </x:c>
    </x:row>
    <x:row r="23" ht="56" customHeight="1">
      <x:c r="A23" s="23" t="str">
        <x:v>Ancient Cosmology and Dreams</x:v>
      </x:c>
      <x:c r="B23" s="23" t="str">
        <x:v>gpt2026dragon1734_Ancient_Cosmology_and_Dreams.txt</x:v>
      </x:c>
      <x:c r="C23" s="23" t="str">
        <x:v>2025-06-21</x:v>
      </x:c>
      <x:c r="D23" s="23" t="n">
        <x:v>14</x:v>
      </x:c>
      <x:c r="E23" s="23" t="str"/>
      <x:c r="F23" s="23" t="n">
        <x:f>IF(E23="",0,LEN(E23)-LEN(SUBSTITUTE(E23,CHAR(10),""))+1)</x:f>
        <x:v>0</x:v>
      </x:c>
      <x:c r="G23" s="23" t="str"/>
      <x:c r="H23" s="23" t="n">
        <x:f>IF(G23="",0,LEN(G23&amp;"")-LEN(SUBSTITUTE(G23&amp;"",CHAR(10),""))+1)</x:f>
        <x:v>0</x:v>
      </x:c>
      <x:c r="I23" s="23" t="str"/>
      <x:c r="J23" s="23" t="str">
        <x:v>No developed-article link recorded</x:v>
      </x:c>
      <x:c r="K23" s="23" t="str">
        <x:v>Not inferred</x:v>
      </x:c>
      <x:c r="L23" s="34" t="str">
        <x:v>eb83d7bbfd7ed6217dc8774e47b8b7176ae959b4fec8dd533cd7579812c54f32</x:v>
      </x:c>
      <x:c r="M23" s="32" t="n">
        <x:v>161286</x:v>
      </x:c>
      <x:c r="N23" s="23" t="str">
        <x:v>https://v5ma.github.io/theology-wiki/san-reader.html?page=ancient-cosmology-and-dreams</x:v>
      </x:c>
    </x:row>
    <x:row r="24" ht="56" customHeight="1">
      <x:c r="A24" s="23" t="str">
        <x:v>Ancient Egypt vs Fascism</x:v>
      </x:c>
      <x:c r="B24" s="23" t="str">
        <x:v>gpt2026dragon439_Ancient_Egypt_vs_Fascism.txt</x:v>
      </x:c>
      <x:c r="C24" s="23" t="str">
        <x:v>2024-11-20</x:v>
      </x:c>
      <x:c r="D24" s="23" t="n">
        <x:v>3</x:v>
      </x:c>
      <x:c r="E24" s="23" t="str"/>
      <x:c r="F24" s="23" t="n">
        <x:f>IF(E24="",0,LEN(E24)-LEN(SUBSTITUTE(E24,CHAR(10),""))+1)</x:f>
        <x:v>0</x:v>
      </x:c>
      <x:c r="G24" s="23" t="str"/>
      <x:c r="H24" s="23" t="n">
        <x:f>IF(G24="",0,LEN(G24&amp;"")-LEN(SUBSTITUTE(G24&amp;"",CHAR(10),""))+1)</x:f>
        <x:v>0</x:v>
      </x:c>
      <x:c r="I24" s="23" t="str"/>
      <x:c r="J24" s="23" t="str">
        <x:v>No developed-article link recorded</x:v>
      </x:c>
      <x:c r="K24" s="23" t="str">
        <x:v>Not inferred</x:v>
      </x:c>
      <x:c r="L24" s="34" t="str">
        <x:v>227c761533742a04053a8308f01ea2e64af08c9aabfd93921637a21534c94bf6</x:v>
      </x:c>
      <x:c r="M24" s="32" t="n">
        <x:v>13478</x:v>
      </x:c>
      <x:c r="N24" s="23" t="str">
        <x:v>https://v5ma.github.io/theology-wiki/san-reader.html?page=ancient-egypt-vs-fascism</x:v>
      </x:c>
    </x:row>
    <x:row r="25" ht="56" customHeight="1">
      <x:c r="A25" s="23" t="str">
        <x:v>Antichrist Alignment Consequences</x:v>
      </x:c>
      <x:c r="B25" s="23" t="str">
        <x:v>gpt2026dragon1457_Antichrist_Alignment_Consequences.txt</x:v>
      </x:c>
      <x:c r="C25" s="23" t="str">
        <x:v>2025-05-09</x:v>
      </x:c>
      <x:c r="D25" s="23" t="n">
        <x:v>2</x:v>
      </x:c>
      <x:c r="E25" s="23" t="str"/>
      <x:c r="F25" s="23" t="n">
        <x:f>IF(E25="",0,LEN(E25)-LEN(SUBSTITUTE(E25,CHAR(10),""))+1)</x:f>
        <x:v>0</x:v>
      </x:c>
      <x:c r="G25" s="23" t="str"/>
      <x:c r="H25" s="23" t="n">
        <x:f>IF(G25="",0,LEN(G25&amp;"")-LEN(SUBSTITUTE(G25&amp;"",CHAR(10),""))+1)</x:f>
        <x:v>0</x:v>
      </x:c>
      <x:c r="I25" s="23" t="str"/>
      <x:c r="J25" s="23" t="str">
        <x:v>No developed-article link recorded</x:v>
      </x:c>
      <x:c r="K25" s="23" t="str">
        <x:v>Not inferred</x:v>
      </x:c>
      <x:c r="L25" s="34" t="str">
        <x:v>ba3e56f5d516a9cea12e24c63364ec224768b942634ca424230dd8b492f76f3f</x:v>
      </x:c>
      <x:c r="M25" s="32" t="n">
        <x:v>2583</x:v>
      </x:c>
      <x:c r="N25" s="23" t="str">
        <x:v>https://v5ma.github.io/theology-wiki/san-reader.html?page=antichrist-alignment-consequences</x:v>
      </x:c>
    </x:row>
    <x:row r="26" ht="56" customHeight="1">
      <x:c r="A26" s="23" t="str">
        <x:v>Antichrist and Desire of Women</x:v>
      </x:c>
      <x:c r="B26" s="23" t="str">
        <x:v>gpt2026dragon1424_Antichrist_and_Desire_of_Women.txt</x:v>
      </x:c>
      <x:c r="C26" s="23" t="str">
        <x:v>2025-05-03</x:v>
      </x:c>
      <x:c r="D26" s="23" t="n">
        <x:v>10</x:v>
      </x:c>
      <x:c r="E26" s="23" t="str"/>
      <x:c r="F26" s="23" t="n">
        <x:f>IF(E26="",0,LEN(E26)-LEN(SUBSTITUTE(E26,CHAR(10),""))+1)</x:f>
        <x:v>0</x:v>
      </x:c>
      <x:c r="G26" s="23" t="str"/>
      <x:c r="H26" s="23" t="n">
        <x:f>IF(G26="",0,LEN(G26&amp;"")-LEN(SUBSTITUTE(G26&amp;"",CHAR(10),""))+1)</x:f>
        <x:v>0</x:v>
      </x:c>
      <x:c r="I26" s="23" t="str"/>
      <x:c r="J26" s="23" t="str">
        <x:v>No developed-article link recorded</x:v>
      </x:c>
      <x:c r="K26" s="23" t="str">
        <x:v>Not inferred</x:v>
      </x:c>
      <x:c r="L26" s="34" t="str">
        <x:v>77332c8a00111dcae193a1a621179415803d0eca6dfe89da9e7549d302a616b0</x:v>
      </x:c>
      <x:c r="M26" s="32" t="n">
        <x:v>11575</x:v>
      </x:c>
      <x:c r="N26" s="23" t="str">
        <x:v>https://v5ma.github.io/theology-wiki/san-reader.html?page=antichrist-and-desire-of-women</x:v>
      </x:c>
    </x:row>
    <x:row r="27" ht="56" customHeight="1">
      <x:c r="A27" s="23" t="str">
        <x:v>Antichrist and Gold Obsession</x:v>
      </x:c>
      <x:c r="B27" s="23" t="str">
        <x:v>gpt2026dragon1134_Antichrist_and_Gold_Obsession.txt</x:v>
      </x:c>
      <x:c r="C27" s="23" t="str">
        <x:v>2025-03-24</x:v>
      </x:c>
      <x:c r="D27" s="23" t="n">
        <x:v>6</x:v>
      </x:c>
      <x:c r="E27" s="23" t="str"/>
      <x:c r="F27" s="23" t="n">
        <x:f>IF(E27="",0,LEN(E27)-LEN(SUBSTITUTE(E27,CHAR(10),""))+1)</x:f>
        <x:v>0</x:v>
      </x:c>
      <x:c r="G27" s="23" t="str"/>
      <x:c r="H27" s="23" t="n">
        <x:f>IF(G27="",0,LEN(G27&amp;"")-LEN(SUBSTITUTE(G27&amp;"",CHAR(10),""))+1)</x:f>
        <x:v>0</x:v>
      </x:c>
      <x:c r="I27" s="23" t="str"/>
      <x:c r="J27" s="23" t="str">
        <x:v>No developed-article link recorded</x:v>
      </x:c>
      <x:c r="K27" s="23" t="str">
        <x:v>Not inferred</x:v>
      </x:c>
      <x:c r="L27" s="34" t="str">
        <x:v>c050d6c9bb8db5fe3c0b180beeedb0fd37cb8b1333f7744cbf655793443fc1ea</x:v>
      </x:c>
      <x:c r="M27" s="32" t="n">
        <x:v>11028</x:v>
      </x:c>
      <x:c r="N27" s="23" t="str">
        <x:v>https://v5ma.github.io/theology-wiki/san-reader.html?page=antichrist-and-gold-obsession</x:v>
      </x:c>
    </x:row>
    <x:row r="28" ht="56" customHeight="1">
      <x:c r="A28" s="23" t="str">
        <x:v>Antichrist and Ridiculous Claims</x:v>
      </x:c>
      <x:c r="B28" s="23" t="str">
        <x:v>gpt2026dragon1747_Antichrist_and_Ridiculous_Claims.txt</x:v>
      </x:c>
      <x:c r="C28" s="23" t="str">
        <x:v>2025-06-23</x:v>
      </x:c>
      <x:c r="D28" s="23" t="n">
        <x:v>30</x:v>
      </x:c>
      <x:c r="E28" s="23" t="str"/>
      <x:c r="F28" s="23" t="n">
        <x:f>IF(E28="",0,LEN(E28)-LEN(SUBSTITUTE(E28,CHAR(10),""))+1)</x:f>
        <x:v>0</x:v>
      </x:c>
      <x:c r="G28" s="23" t="str"/>
      <x:c r="H28" s="23" t="n">
        <x:f>IF(G28="",0,LEN(G28&amp;"")-LEN(SUBSTITUTE(G28&amp;"",CHAR(10),""))+1)</x:f>
        <x:v>0</x:v>
      </x:c>
      <x:c r="I28" s="23" t="str"/>
      <x:c r="J28" s="23" t="str">
        <x:v>No developed-article link recorded</x:v>
      </x:c>
      <x:c r="K28" s="23" t="str">
        <x:v>Not inferred</x:v>
      </x:c>
      <x:c r="L28" s="34" t="str">
        <x:v>3f1cff2fd59d19bc778ec06aa786481f584cdbca75469d6e9adf01d40ee7a037</x:v>
      </x:c>
      <x:c r="M28" s="32" t="n">
        <x:v>87911</x:v>
      </x:c>
      <x:c r="N28" s="23" t="str">
        <x:v>https://v5ma.github.io/theology-wiki/san-reader.html?page=antichrist-and-ridiculous-claims</x:v>
      </x:c>
    </x:row>
    <x:row r="29" ht="56" customHeight="1">
      <x:c r="A29" s="23" t="str">
        <x:v>Antichrist Covenant and Peace</x:v>
      </x:c>
      <x:c r="B29" s="23" t="str">
        <x:v>gpt2026dragon1271_Antichrist_Covenant_and_Peace.txt</x:v>
      </x:c>
      <x:c r="C29" s="23" t="str">
        <x:v>2025-04-07</x:v>
      </x:c>
      <x:c r="D29" s="23" t="n">
        <x:v>8</x:v>
      </x:c>
      <x:c r="E29" s="23" t="str"/>
      <x:c r="F29" s="23" t="n">
        <x:f>IF(E29="",0,LEN(E29)-LEN(SUBSTITUTE(E29,CHAR(10),""))+1)</x:f>
        <x:v>0</x:v>
      </x:c>
      <x:c r="G29" s="23" t="str"/>
      <x:c r="H29" s="23" t="n">
        <x:f>IF(G29="",0,LEN(G29&amp;"")-LEN(SUBSTITUTE(G29&amp;"",CHAR(10),""))+1)</x:f>
        <x:v>0</x:v>
      </x:c>
      <x:c r="I29" s="23" t="str"/>
      <x:c r="J29" s="23" t="str">
        <x:v>No developed-article link recorded</x:v>
      </x:c>
      <x:c r="K29" s="23" t="str">
        <x:v>Not inferred</x:v>
      </x:c>
      <x:c r="L29" s="34" t="str">
        <x:v>660b1feedf4e53e023e1cdc06c857e363a7aff732b32673ee80ddb26188931c2</x:v>
      </x:c>
      <x:c r="M29" s="32" t="n">
        <x:v>9011</x:v>
      </x:c>
      <x:c r="N29" s="23" t="str">
        <x:v>https://v5ma.github.io/theology-wiki/san-reader.html?page=antichrist-covenant-and-peace</x:v>
      </x:c>
    </x:row>
    <x:row r="30" ht="56" customHeight="1">
      <x:c r="A30" s="23" t="str">
        <x:v>Antichrist Middle East Myth</x:v>
      </x:c>
      <x:c r="B30" s="23" t="str">
        <x:v>gpt2026dragon2995_Antichrist_Middle_East_Myth.txt</x:v>
      </x:c>
      <x:c r="C30" s="23" t="str">
        <x:v>2026-01-18</x:v>
      </x:c>
      <x:c r="D30" s="23" t="n">
        <x:v>18</x:v>
      </x:c>
      <x:c r="E30" s="23" t="str"/>
      <x:c r="F30" s="23" t="n">
        <x:f>IF(E30="",0,LEN(E30)-LEN(SUBSTITUTE(E30,CHAR(10),""))+1)</x:f>
        <x:v>0</x:v>
      </x:c>
      <x:c r="G30" s="23" t="str"/>
      <x:c r="H30" s="23" t="n">
        <x:f>IF(G30="",0,LEN(G30&amp;"")-LEN(SUBSTITUTE(G30&amp;"",CHAR(10),""))+1)</x:f>
        <x:v>0</x:v>
      </x:c>
      <x:c r="I30" s="23" t="str"/>
      <x:c r="J30" s="23" t="str">
        <x:v>No developed-article link recorded</x:v>
      </x:c>
      <x:c r="K30" s="23" t="str">
        <x:v>Not inferred</x:v>
      </x:c>
      <x:c r="L30" s="34" t="str">
        <x:v>d553544a75625f7477420ce49438b2c1781415bc84d6c8f8edf14ec4163df7e7</x:v>
      </x:c>
      <x:c r="M30" s="32" t="n">
        <x:v>18772</x:v>
      </x:c>
      <x:c r="N30" s="23" t="str">
        <x:v>https://v5ma.github.io/theology-wiki/san-reader.html?page=antichrist-middle-east-myth</x:v>
      </x:c>
    </x:row>
    <x:row r="31" ht="56" customHeight="1">
      <x:c r="A31" s="23" t="str">
        <x:v>Antichrist Peace and War</x:v>
      </x:c>
      <x:c r="B31" s="23" t="str">
        <x:v>gpt2026dragon1375_Antichrist_Peace_and_War.txt</x:v>
      </x:c>
      <x:c r="C31" s="23" t="str">
        <x:v>2025-04-26</x:v>
      </x:c>
      <x:c r="D31" s="23" t="n">
        <x:v>7</x:v>
      </x:c>
      <x:c r="E31" s="23" t="str"/>
      <x:c r="F31" s="23" t="n">
        <x:f>IF(E31="",0,LEN(E31)-LEN(SUBSTITUTE(E31,CHAR(10),""))+1)</x:f>
        <x:v>0</x:v>
      </x:c>
      <x:c r="G31" s="23" t="str"/>
      <x:c r="H31" s="23" t="n">
        <x:f>IF(G31="",0,LEN(G31&amp;"")-LEN(SUBSTITUTE(G31&amp;"",CHAR(10),""))+1)</x:f>
        <x:v>0</x:v>
      </x:c>
      <x:c r="I31" s="23" t="str"/>
      <x:c r="J31" s="23" t="str">
        <x:v>No developed-article link recorded</x:v>
      </x:c>
      <x:c r="K31" s="23" t="str">
        <x:v>Not inferred</x:v>
      </x:c>
      <x:c r="L31" s="34" t="str">
        <x:v>05e7d1ef5df4abca3703ed3aaa4e272371f34a6c17700e2c723f4cc867cfe371</x:v>
      </x:c>
      <x:c r="M31" s="32" t="n">
        <x:v>13170</x:v>
      </x:c>
      <x:c r="N31" s="23" t="str">
        <x:v>https://v5ma.github.io/theology-wiki/san-reader.html?page=antichrist-peace-and-war</x:v>
      </x:c>
    </x:row>
    <x:row r="32" ht="56" customHeight="1">
      <x:c r="A32" s="23" t="str">
        <x:v>Antichrist Prophecy and War</x:v>
      </x:c>
      <x:c r="B32" s="23" t="str">
        <x:v>gpt2026dragon1302_Antichrist_Prophecy_and_War.txt</x:v>
      </x:c>
      <x:c r="C32" s="23" t="str">
        <x:v>2025-04-13</x:v>
      </x:c>
      <x:c r="D32" s="23" t="n">
        <x:v>4</x:v>
      </x:c>
      <x:c r="E32" s="23" t="str"/>
      <x:c r="F32" s="23" t="n">
        <x:f>IF(E32="",0,LEN(E32)-LEN(SUBSTITUTE(E32,CHAR(10),""))+1)</x:f>
        <x:v>0</x:v>
      </x:c>
      <x:c r="G32" s="23" t="str"/>
      <x:c r="H32" s="23" t="n">
        <x:f>IF(G32="",0,LEN(G32&amp;"")-LEN(SUBSTITUTE(G32&amp;"",CHAR(10),""))+1)</x:f>
        <x:v>0</x:v>
      </x:c>
      <x:c r="I32" s="23" t="str"/>
      <x:c r="J32" s="23" t="str">
        <x:v>No developed-article link recorded</x:v>
      </x:c>
      <x:c r="K32" s="23" t="str">
        <x:v>Not inferred</x:v>
      </x:c>
      <x:c r="L32" s="34" t="str">
        <x:v>38a465ee5176fbc7618334474d8c4477da2e8cdd28a20b9d328aba9e82749a2d</x:v>
      </x:c>
      <x:c r="M32" s="32" t="n">
        <x:v>7321</x:v>
      </x:c>
      <x:c r="N32" s="23" t="str">
        <x:v>https://v5ma.github.io/theology-wiki/san-reader.html?page=antichrist-prophecy-and-war</x:v>
      </x:c>
    </x:row>
    <x:row r="33" ht="56" customHeight="1">
      <x:c r="A33" s="23" t="str">
        <x:v>Antichrist prophecy in Tanakh</x:v>
      </x:c>
      <x:c r="B33" s="23" t="str">
        <x:v>gpt2026dragon2747_Antichrist_prophecy_in_Tanakh.txt</x:v>
      </x:c>
      <x:c r="C33" s="23" t="str">
        <x:v>2025-11-09</x:v>
      </x:c>
      <x:c r="D33" s="23" t="n">
        <x:v>5</x:v>
      </x:c>
      <x:c r="E33" s="23" t="str"/>
      <x:c r="F33" s="23" t="n">
        <x:f>IF(E33="",0,LEN(E33)-LEN(SUBSTITUTE(E33,CHAR(10),""))+1)</x:f>
        <x:v>0</x:v>
      </x:c>
      <x:c r="G33" s="23" t="str"/>
      <x:c r="H33" s="23" t="n">
        <x:f>IF(G33="",0,LEN(G33&amp;"")-LEN(SUBSTITUTE(G33&amp;"",CHAR(10),""))+1)</x:f>
        <x:v>0</x:v>
      </x:c>
      <x:c r="I33" s="23" t="str"/>
      <x:c r="J33" s="23" t="str">
        <x:v>No developed-article link recorded</x:v>
      </x:c>
      <x:c r="K33" s="23" t="str">
        <x:v>Not inferred</x:v>
      </x:c>
      <x:c r="L33" s="34" t="str">
        <x:v>ac28dd6873df97cffb8443151f5979fa3b3f37ec1df23f7fa3b5b10541840cf6</x:v>
      </x:c>
      <x:c r="M33" s="32" t="n">
        <x:v>17175</x:v>
      </x:c>
      <x:c r="N33" s="23" t="str">
        <x:v>https://v5ma.github.io/theology-wiki/san-reader.html?page=antichrist-prophecy-in-tanakh</x:v>
      </x:c>
    </x:row>
    <x:row r="34" ht="56" customHeight="1">
      <x:c r="A34" s="23" t="str">
        <x:v>Antichrist salvation discussions</x:v>
      </x:c>
      <x:c r="B34" s="23" t="str">
        <x:v>gpt2026dragon2243_Antichrist_salvation_discussions.txt</x:v>
      </x:c>
      <x:c r="C34" s="23" t="str">
        <x:v>2025-08-28</x:v>
      </x:c>
      <x:c r="D34" s="23" t="n">
        <x:v>2</x:v>
      </x:c>
      <x:c r="E34" s="23" t="str"/>
      <x:c r="F34" s="23" t="n">
        <x:f>IF(E34="",0,LEN(E34)-LEN(SUBSTITUTE(E34,CHAR(10),""))+1)</x:f>
        <x:v>0</x:v>
      </x:c>
      <x:c r="G34" s="23" t="str"/>
      <x:c r="H34" s="23" t="n">
        <x:f>IF(G34="",0,LEN(G34&amp;"")-LEN(SUBSTITUTE(G34&amp;"",CHAR(10),""))+1)</x:f>
        <x:v>0</x:v>
      </x:c>
      <x:c r="I34" s="23" t="str"/>
      <x:c r="J34" s="23" t="str">
        <x:v>No developed-article link recorded</x:v>
      </x:c>
      <x:c r="K34" s="23" t="str">
        <x:v>Not inferred</x:v>
      </x:c>
      <x:c r="L34" s="34" t="str">
        <x:v>866bf2ca5825308c25a1295bef786a93bdd3ca08889ac6ec23069926c161f343</x:v>
      </x:c>
      <x:c r="M34" s="32" t="n">
        <x:v>3869</x:v>
      </x:c>
      <x:c r="N34" s="23" t="str">
        <x:v>https://v5ma.github.io/theology-wiki/san-reader.html?page=antichrist-salvation-discussions</x:v>
      </x:c>
    </x:row>
    <x:row r="35" ht="56" customHeight="1">
      <x:c r="A35" s="23" t="str">
        <x:v>Antichrist Spiritual Inversion</x:v>
      </x:c>
      <x:c r="B35" s="23" t="str">
        <x:v>gpt2026dragon1081_Antichrist_Spiritual_Inversion.txt</x:v>
      </x:c>
      <x:c r="C35" s="23" t="str">
        <x:v>2025-03-09</x:v>
      </x:c>
      <x:c r="D35" s="23" t="n">
        <x:v>16</x:v>
      </x:c>
      <x:c r="E35" s="23" t="str">
        <x:v>cognitive-gnosticism
christ-as-an-inner-model
antichrist-as-a-pattern-of-conduct
faith-as-deliberate-joy</x:v>
      </x:c>
      <x:c r="F35" s="23" t="n">
        <x:f>IF(E35="",0,LEN(E35)-LEN(SUBSTITUTE(E35,CHAR(10),""))+1)</x:f>
        <x:v>4</x:v>
      </x:c>
      <x:c r="G35" s="23" t="str"/>
      <x:c r="H35" s="23" t="n">
        <x:f>IF(G35="",0,LEN(G35&amp;"")-LEN(SUBSTITUTE(G35&amp;"",CHAR(10),""))+1)</x:f>
        <x:v>0</x:v>
      </x:c>
      <x:c r="I35" s="23" t="str">
        <x:v>gnosis
inner-model
faith
will</x:v>
      </x:c>
      <x:c r="J35" s="23" t="str">
        <x:v>Linked to developed article</x:v>
      </x:c>
      <x:c r="K35" s="23" t="str">
        <x:v>Not inferred</x:v>
      </x:c>
      <x:c r="L35" s="34" t="str">
        <x:v>43f1ccdb86688a5042265141521a285d06c799687ce67c2e436526545c73299f</x:v>
      </x:c>
      <x:c r="M35" s="32" t="n">
        <x:v>34202</x:v>
      </x:c>
      <x:c r="N35" s="23" t="str">
        <x:v>https://v5ma.github.io/theology-wiki/san-reader.html?page=antichrist-spiritual-inversion</x:v>
      </x:c>
    </x:row>
    <x:row r="36" ht="56" customHeight="1">
      <x:c r="A36" s="23" t="str">
        <x:v>Anunnaki Alien Theory Rejected</x:v>
      </x:c>
      <x:c r="B36" s="23" t="str">
        <x:v>gpt2026dragon1573_Anunnaki_Alien_Theory_Rejected.txt</x:v>
      </x:c>
      <x:c r="C36" s="23" t="str">
        <x:v>2025-05-27</x:v>
      </x:c>
      <x:c r="D36" s="23" t="n">
        <x:v>36</x:v>
      </x:c>
      <x:c r="E36" s="23" t="str"/>
      <x:c r="F36" s="23" t="n">
        <x:f>IF(E36="",0,LEN(E36)-LEN(SUBSTITUTE(E36,CHAR(10),""))+1)</x:f>
        <x:v>0</x:v>
      </x:c>
      <x:c r="G36" s="23" t="str"/>
      <x:c r="H36" s="23" t="n">
        <x:f>IF(G36="",0,LEN(G36&amp;"")-LEN(SUBSTITUTE(G36&amp;"",CHAR(10),""))+1)</x:f>
        <x:v>0</x:v>
      </x:c>
      <x:c r="I36" s="23" t="str"/>
      <x:c r="J36" s="23" t="str">
        <x:v>No developed-article link recorded</x:v>
      </x:c>
      <x:c r="K36" s="23" t="str">
        <x:v>Not inferred</x:v>
      </x:c>
      <x:c r="L36" s="34" t="str">
        <x:v>c2989c06812ef87563612cc2df2adf556f19b455d997b67ef3b4e709ccfbf79d</x:v>
      </x:c>
      <x:c r="M36" s="32" t="n">
        <x:v>68272</x:v>
      </x:c>
      <x:c r="N36" s="23" t="str">
        <x:v>https://v5ma.github.io/theology-wiki/san-reader.html?page=anunnaki-alien-theory-rejected</x:v>
      </x:c>
    </x:row>
    <x:row r="37" ht="56" customHeight="1">
      <x:c r="A37" s="23" t="str">
        <x:v>Apocalipsis y nueva humanidad</x:v>
      </x:c>
      <x:c r="B37" s="23" t="str">
        <x:v>gpt2026dragon1248_Apocalipsis_y_nueva_humanidad.txt</x:v>
      </x:c>
      <x:c r="C37" s="23" t="str">
        <x:v>2025-04-01</x:v>
      </x:c>
      <x:c r="D37" s="23" t="n">
        <x:v>105</x:v>
      </x:c>
      <x:c r="E37" s="23" t="str"/>
      <x:c r="F37" s="23" t="n">
        <x:f>IF(E37="",0,LEN(E37)-LEN(SUBSTITUTE(E37,CHAR(10),""))+1)</x:f>
        <x:v>0</x:v>
      </x:c>
      <x:c r="G37" s="23" t="str"/>
      <x:c r="H37" s="23" t="n">
        <x:f>IF(G37="",0,LEN(G37&amp;"")-LEN(SUBSTITUTE(G37&amp;"",CHAR(10),""))+1)</x:f>
        <x:v>0</x:v>
      </x:c>
      <x:c r="I37" s="23" t="str"/>
      <x:c r="J37" s="23" t="str">
        <x:v>No developed-article link recorded</x:v>
      </x:c>
      <x:c r="K37" s="23" t="str">
        <x:v>Not inferred</x:v>
      </x:c>
      <x:c r="L37" s="34" t="str">
        <x:v>afbf801092258a8ae6f240ee99b40dc4ef6b2625d1a380326358ab8420aa8005</x:v>
      </x:c>
      <x:c r="M37" s="32" t="n">
        <x:v>85371</x:v>
      </x:c>
      <x:c r="N37" s="23" t="str">
        <x:v>https://v5ma.github.io/theology-wiki/san-reader.html?page=apocalipsis-y-nueva-humanidad</x:v>
      </x:c>
    </x:row>
    <x:row r="38" ht="56" customHeight="1">
      <x:c r="A38" s="23" t="str">
        <x:v>Apocalypse of Adam Outline</x:v>
      </x:c>
      <x:c r="B38" s="23" t="str">
        <x:v>gpt2026dragon1413_Apocalypse_of_Adam_Outline.txt</x:v>
      </x:c>
      <x:c r="C38" s="23" t="str">
        <x:v>2025-04-30</x:v>
      </x:c>
      <x:c r="D38" s="23" t="n">
        <x:v>23</x:v>
      </x:c>
      <x:c r="E38" s="23" t="str"/>
      <x:c r="F38" s="23" t="n">
        <x:f>IF(E38="",0,LEN(E38)-LEN(SUBSTITUTE(E38,CHAR(10),""))+1)</x:f>
        <x:v>0</x:v>
      </x:c>
      <x:c r="G38" s="23" t="str"/>
      <x:c r="H38" s="23" t="n">
        <x:f>IF(G38="",0,LEN(G38&amp;"")-LEN(SUBSTITUTE(G38&amp;"",CHAR(10),""))+1)</x:f>
        <x:v>0</x:v>
      </x:c>
      <x:c r="I38" s="23" t="str"/>
      <x:c r="J38" s="23" t="str">
        <x:v>No developed-article link recorded</x:v>
      </x:c>
      <x:c r="K38" s="23" t="str">
        <x:v>Not inferred</x:v>
      </x:c>
      <x:c r="L38" s="34" t="str">
        <x:v>5c9acf25da11c695e1f0f1b4c93e9571db239948831eb28e11698e860af418cc</x:v>
      </x:c>
      <x:c r="M38" s="32" t="n">
        <x:v>26917</x:v>
      </x:c>
      <x:c r="N38" s="23" t="str">
        <x:v>https://v5ma.github.io/theology-wiki/san-reader.html?page=apocalypse-of-adam-outline</x:v>
      </x:c>
    </x:row>
    <x:row r="39" ht="56" customHeight="1">
      <x:c r="A39" s="23" t="str">
        <x:v>Apocalypse of Peter comparison</x:v>
      </x:c>
      <x:c r="B39" s="23" t="str">
        <x:v>gpt2026dragon2695_Apocalypse_of_Peter_comparison.txt</x:v>
      </x:c>
      <x:c r="C39" s="23" t="str">
        <x:v>2025-10-28</x:v>
      </x:c>
      <x:c r="D39" s="23" t="n">
        <x:v>72</x:v>
      </x:c>
      <x:c r="E39" s="23" t="str"/>
      <x:c r="F39" s="23" t="n">
        <x:f>IF(E39="",0,LEN(E39)-LEN(SUBSTITUTE(E39,CHAR(10),""))+1)</x:f>
        <x:v>0</x:v>
      </x:c>
      <x:c r="G39" s="23" t="str"/>
      <x:c r="H39" s="23" t="n">
        <x:f>IF(G39="",0,LEN(G39&amp;"")-LEN(SUBSTITUTE(G39&amp;"",CHAR(10),""))+1)</x:f>
        <x:v>0</x:v>
      </x:c>
      <x:c r="I39" s="23" t="str"/>
      <x:c r="J39" s="23" t="str">
        <x:v>No developed-article link recorded</x:v>
      </x:c>
      <x:c r="K39" s="23" t="str">
        <x:v>Not inferred</x:v>
      </x:c>
      <x:c r="L39" s="34" t="str">
        <x:v>3766709c3fbd4f5ca7e8e9868906cfd4470b13fc1a8c168c31c6fc577adeab4f</x:v>
      </x:c>
      <x:c r="M39" s="32" t="n">
        <x:v>126100</x:v>
      </x:c>
      <x:c r="N39" s="23" t="str">
        <x:v>https://v5ma.github.io/theology-wiki/san-reader.html?page=apocalypse-of-peter-comparison</x:v>
      </x:c>
    </x:row>
    <x:row r="40" ht="56" customHeight="1">
      <x:c r="A40" s="23" t="str">
        <x:v>Article review feedback</x:v>
      </x:c>
      <x:c r="B40" s="23" t="str">
        <x:v>gpt2026dragon2126_Article_review_feedback.txt</x:v>
      </x:c>
      <x:c r="C40" s="23" t="str">
        <x:v>2025-08-16</x:v>
      </x:c>
      <x:c r="D40" s="23" t="n">
        <x:v>13</x:v>
      </x:c>
      <x:c r="E40" s="23" t="str"/>
      <x:c r="F40" s="23" t="n">
        <x:f>IF(E40="",0,LEN(E40)-LEN(SUBSTITUTE(E40,CHAR(10),""))+1)</x:f>
        <x:v>0</x:v>
      </x:c>
      <x:c r="G40" s="23" t="str"/>
      <x:c r="H40" s="23" t="n">
        <x:f>IF(G40="",0,LEN(G40&amp;"")-LEN(SUBSTITUTE(G40&amp;"",CHAR(10),""))+1)</x:f>
        <x:v>0</x:v>
      </x:c>
      <x:c r="I40" s="23" t="str"/>
      <x:c r="J40" s="23" t="str">
        <x:v>No developed-article link recorded</x:v>
      </x:c>
      <x:c r="K40" s="23" t="str">
        <x:v>Not inferred</x:v>
      </x:c>
      <x:c r="L40" s="34" t="str">
        <x:v>d9f568e5c4c545382ce81bc42675d619f9870253ba2aaf1793c4c5d9e0bfbfdd</x:v>
      </x:c>
      <x:c r="M40" s="32" t="n">
        <x:v>22909</x:v>
      </x:c>
      <x:c r="N40" s="23" t="str">
        <x:v>https://v5ma.github.io/theology-wiki/san-reader.html?page=article-review-feedback</x:v>
      </x:c>
    </x:row>
    <x:row r="41" ht="56" customHeight="1">
      <x:c r="A41" s="23" t="str">
        <x:v>Assyrian and Antichrist connection</x:v>
      </x:c>
      <x:c r="B41" s="23" t="str">
        <x:v>gpt2026dragon2664_Assyrian_and_Antichrist_connection.txt</x:v>
      </x:c>
      <x:c r="C41" s="23" t="str">
        <x:v>2025-10-21</x:v>
      </x:c>
      <x:c r="D41" s="23" t="n">
        <x:v>17</x:v>
      </x:c>
      <x:c r="E41" s="23" t="str"/>
      <x:c r="F41" s="23" t="n">
        <x:f>IF(E41="",0,LEN(E41)-LEN(SUBSTITUTE(E41,CHAR(10),""))+1)</x:f>
        <x:v>0</x:v>
      </x:c>
      <x:c r="G41" s="23" t="str"/>
      <x:c r="H41" s="23" t="n">
        <x:f>IF(G41="",0,LEN(G41&amp;"")-LEN(SUBSTITUTE(G41&amp;"",CHAR(10),""))+1)</x:f>
        <x:v>0</x:v>
      </x:c>
      <x:c r="I41" s="23" t="str"/>
      <x:c r="J41" s="23" t="str">
        <x:v>No developed-article link recorded</x:v>
      </x:c>
      <x:c r="K41" s="23" t="str">
        <x:v>Not inferred</x:v>
      </x:c>
      <x:c r="L41" s="34" t="str">
        <x:v>568ddef0889cede39c5b223330ca896c11ffec71615ce9438fbace033ea921c9</x:v>
      </x:c>
      <x:c r="M41" s="32" t="n">
        <x:v>32533</x:v>
      </x:c>
      <x:c r="N41" s="23" t="str">
        <x:v>https://v5ma.github.io/theology-wiki/san-reader.html?page=assyrian-and-antichrist-connection</x:v>
      </x:c>
    </x:row>
    <x:row r="42" ht="56" customHeight="1">
      <x:c r="A42" s="23" t="str">
        <x:v>Authoritarian Threats to Democracy</x:v>
      </x:c>
      <x:c r="B42" s="23" t="str">
        <x:v>gpt2026dragon1017_Authoritarian_Threats_to_Democracy.txt</x:v>
      </x:c>
      <x:c r="C42" s="23" t="str">
        <x:v>2025-03-01</x:v>
      </x:c>
      <x:c r="D42" s="23" t="n">
        <x:v>7</x:v>
      </x:c>
      <x:c r="E42" s="23" t="str"/>
      <x:c r="F42" s="23" t="n">
        <x:f>IF(E42="",0,LEN(E42)-LEN(SUBSTITUTE(E42,CHAR(10),""))+1)</x:f>
        <x:v>0</x:v>
      </x:c>
      <x:c r="G42" s="23" t="str"/>
      <x:c r="H42" s="23" t="n">
        <x:f>IF(G42="",0,LEN(G42&amp;"")-LEN(SUBSTITUTE(G42&amp;"",CHAR(10),""))+1)</x:f>
        <x:v>0</x:v>
      </x:c>
      <x:c r="I42" s="23" t="str"/>
      <x:c r="J42" s="23" t="str">
        <x:v>No developed-article link recorded</x:v>
      </x:c>
      <x:c r="K42" s="23" t="str">
        <x:v>Not inferred</x:v>
      </x:c>
      <x:c r="L42" s="34" t="str">
        <x:v>43bd96e3d9e60dd61947f67a9bb651ea3e75a08070092f6de9476bcf81255ed9</x:v>
      </x:c>
      <x:c r="M42" s="32" t="n">
        <x:v>10774</x:v>
      </x:c>
      <x:c r="N42" s="23" t="str">
        <x:v>https://v5ma.github.io/theology-wiki/san-reader.html?page=authoritarian-threats-to-democracy</x:v>
      </x:c>
    </x:row>
    <x:row r="43" ht="56" customHeight="1">
      <x:c r="A43" s="23" t="str">
        <x:v>Authoritarianism and False Democracy</x:v>
      </x:c>
      <x:c r="B43" s="23" t="str">
        <x:v>gpt2026dragon1449_Authoritarianism_and_False_Democracy.txt</x:v>
      </x:c>
      <x:c r="C43" s="23" t="str">
        <x:v>2025-05-07</x:v>
      </x:c>
      <x:c r="D43" s="23" t="n">
        <x:v>4</x:v>
      </x:c>
      <x:c r="E43" s="23" t="str"/>
      <x:c r="F43" s="23" t="n">
        <x:f>IF(E43="",0,LEN(E43)-LEN(SUBSTITUTE(E43,CHAR(10),""))+1)</x:f>
        <x:v>0</x:v>
      </x:c>
      <x:c r="G43" s="23" t="str"/>
      <x:c r="H43" s="23" t="n">
        <x:f>IF(G43="",0,LEN(G43&amp;"")-LEN(SUBSTITUTE(G43&amp;"",CHAR(10),""))+1)</x:f>
        <x:v>0</x:v>
      </x:c>
      <x:c r="I43" s="23" t="str"/>
      <x:c r="J43" s="23" t="str">
        <x:v>No developed-article link recorded</x:v>
      </x:c>
      <x:c r="K43" s="23" t="str">
        <x:v>Not inferred</x:v>
      </x:c>
      <x:c r="L43" s="34" t="str">
        <x:v>1356c0d3e414c4f0abac757a45df321a44f5625eb8a1263ca0a959e686ae5dbd</x:v>
      </x:c>
      <x:c r="M43" s="32" t="n">
        <x:v>8486</x:v>
      </x:c>
      <x:c r="N43" s="23" t="str">
        <x:v>https://v5ma.github.io/theology-wiki/san-reader.html?page=authoritarianism-and-false-democracy</x:v>
      </x:c>
    </x:row>
    <x:row r="44" ht="56" customHeight="1">
      <x:c r="A44" s="23" t="str">
        <x:v>Awakening to Oneness</x:v>
      </x:c>
      <x:c r="B44" s="23" t="str">
        <x:v>gpt2026dragon2679_Awakening_to_Oneness.txt</x:v>
      </x:c>
      <x:c r="C44" s="23" t="str">
        <x:v>2025-10-24</x:v>
      </x:c>
      <x:c r="D44" s="23" t="n">
        <x:v>4</x:v>
      </x:c>
      <x:c r="E44" s="23" t="str"/>
      <x:c r="F44" s="23" t="n">
        <x:f>IF(E44="",0,LEN(E44)-LEN(SUBSTITUTE(E44,CHAR(10),""))+1)</x:f>
        <x:v>0</x:v>
      </x:c>
      <x:c r="G44" s="23" t="str"/>
      <x:c r="H44" s="23" t="n">
        <x:f>IF(G44="",0,LEN(G44&amp;"")-LEN(SUBSTITUTE(G44&amp;"",CHAR(10),""))+1)</x:f>
        <x:v>0</x:v>
      </x:c>
      <x:c r="I44" s="23" t="str"/>
      <x:c r="J44" s="23" t="str">
        <x:v>No developed-article link recorded</x:v>
      </x:c>
      <x:c r="K44" s="23" t="str">
        <x:v>Not inferred</x:v>
      </x:c>
      <x:c r="L44" s="34" t="str">
        <x:v>9cc67e990296b249a39e5e8809657018f0675e546ff999d7b50165cc7f3890c2</x:v>
      </x:c>
      <x:c r="M44" s="32" t="n">
        <x:v>5192</x:v>
      </x:c>
      <x:c r="N44" s="23" t="str">
        <x:v>https://v5ma.github.io/theology-wiki/san-reader.html?page=awakening-to-oneness</x:v>
      </x:c>
    </x:row>
    <x:row r="45" ht="56" customHeight="1">
      <x:c r="A45" s="23" t="str">
        <x:v>Barnabas gospel debunked</x:v>
      </x:c>
      <x:c r="B45" s="23" t="str">
        <x:v>gpt2026dragon2372_Barnabas_gospel_debunked.txt</x:v>
      </x:c>
      <x:c r="C45" s="23" t="str">
        <x:v>2025-09-12</x:v>
      </x:c>
      <x:c r="D45" s="23" t="n">
        <x:v>3</x:v>
      </x:c>
      <x:c r="E45" s="23" t="str"/>
      <x:c r="F45" s="23" t="n">
        <x:f>IF(E45="",0,LEN(E45)-LEN(SUBSTITUTE(E45,CHAR(10),""))+1)</x:f>
        <x:v>0</x:v>
      </x:c>
      <x:c r="G45" s="23" t="str"/>
      <x:c r="H45" s="23" t="n">
        <x:f>IF(G45="",0,LEN(G45&amp;"")-LEN(SUBSTITUTE(G45&amp;"",CHAR(10),""))+1)</x:f>
        <x:v>0</x:v>
      </x:c>
      <x:c r="I45" s="23" t="str"/>
      <x:c r="J45" s="23" t="str">
        <x:v>No developed-article link recorded</x:v>
      </x:c>
      <x:c r="K45" s="23" t="str">
        <x:v>Not inferred</x:v>
      </x:c>
      <x:c r="L45" s="34" t="str">
        <x:v>8ec901a27f8f40c1e3afd6f97ed68b03350e12ff068d2037a96390664552936b</x:v>
      </x:c>
      <x:c r="M45" s="32" t="n">
        <x:v>8475</x:v>
      </x:c>
      <x:c r="N45" s="23" t="str">
        <x:v>https://v5ma.github.io/theology-wiki/san-reader.html?page=barnabas-gospel-debunked</x:v>
      </x:c>
    </x:row>
    <x:row r="46" ht="56" customHeight="1">
      <x:c r="A46" s="23" t="str">
        <x:v>Beasts and trumpets symbolism</x:v>
      </x:c>
      <x:c r="B46" s="23" t="str">
        <x:v>gpt2026dragon2676_Beasts_and_trumpets_symbolism.txt</x:v>
      </x:c>
      <x:c r="C46" s="23" t="str">
        <x:v>2025-10-23</x:v>
      </x:c>
      <x:c r="D46" s="23" t="n">
        <x:v>27</x:v>
      </x:c>
      <x:c r="E46" s="23" t="str"/>
      <x:c r="F46" s="23" t="n">
        <x:f>IF(E46="",0,LEN(E46)-LEN(SUBSTITUTE(E46,CHAR(10),""))+1)</x:f>
        <x:v>0</x:v>
      </x:c>
      <x:c r="G46" s="23" t="str"/>
      <x:c r="H46" s="23" t="n">
        <x:f>IF(G46="",0,LEN(G46&amp;"")-LEN(SUBSTITUTE(G46&amp;"",CHAR(10),""))+1)</x:f>
        <x:v>0</x:v>
      </x:c>
      <x:c r="I46" s="23" t="str"/>
      <x:c r="J46" s="23" t="str">
        <x:v>No developed-article link recorded</x:v>
      </x:c>
      <x:c r="K46" s="23" t="str">
        <x:v>Not inferred</x:v>
      </x:c>
      <x:c r="L46" s="34" t="str">
        <x:v>e4c9c01a80e002e8e3207d005e48dd752028dea9e2e610e6478475dfe9e6f723</x:v>
      </x:c>
      <x:c r="M46" s="32" t="n">
        <x:v>70046</x:v>
      </x:c>
      <x:c r="N46" s="23" t="str">
        <x:v>https://v5ma.github.io/theology-wiki/san-reader.html?page=beasts-and-trumpets-symbolism</x:v>
      </x:c>
    </x:row>
    <x:row r="47" ht="56" customHeight="1">
      <x:c r="A47" s="23" t="str">
        <x:v>Beloved Disciple Identity</x:v>
      </x:c>
      <x:c r="B47" s="23" t="str">
        <x:v>gpt2026dragon1666_Beloved_Disciple_Identity.txt</x:v>
      </x:c>
      <x:c r="C47" s="23" t="str">
        <x:v>2025-06-12</x:v>
      </x:c>
      <x:c r="D47" s="23" t="n">
        <x:v>2</x:v>
      </x:c>
      <x:c r="E47" s="23" t="str"/>
      <x:c r="F47" s="23" t="n">
        <x:f>IF(E47="",0,LEN(E47)-LEN(SUBSTITUTE(E47,CHAR(10),""))+1)</x:f>
        <x:v>0</x:v>
      </x:c>
      <x:c r="G47" s="23" t="str"/>
      <x:c r="H47" s="23" t="n">
        <x:f>IF(G47="",0,LEN(G47&amp;"")-LEN(SUBSTITUTE(G47&amp;"",CHAR(10),""))+1)</x:f>
        <x:v>0</x:v>
      </x:c>
      <x:c r="I47" s="23" t="str"/>
      <x:c r="J47" s="23" t="str">
        <x:v>No developed-article link recorded</x:v>
      </x:c>
      <x:c r="K47" s="23" t="str">
        <x:v>Not inferred</x:v>
      </x:c>
      <x:c r="L47" s="34" t="str">
        <x:v>f1c15a45abda9944091c4eb111d2a5efa430f599c6cf2b5f2c48780edd16d0ef</x:v>
      </x:c>
      <x:c r="M47" s="32" t="n">
        <x:v>3301</x:v>
      </x:c>
      <x:c r="N47" s="23" t="str">
        <x:v>https://v5ma.github.io/theology-wiki/san-reader.html?page=beloved-disciple-identity</x:v>
      </x:c>
    </x:row>
    <x:row r="48" ht="56" customHeight="1">
      <x:c r="A48" s="23" t="str">
        <x:v>Bible Interpretation and Faith</x:v>
      </x:c>
      <x:c r="B48" s="23" t="str">
        <x:v>gpt2026dragon1240_Bible_Interpretation_and_Faith.txt</x:v>
      </x:c>
      <x:c r="C48" s="23" t="str">
        <x:v>2025-03-30</x:v>
      </x:c>
      <x:c r="D48" s="23" t="n">
        <x:v>19</x:v>
      </x:c>
      <x:c r="E48" s="23" t="str"/>
      <x:c r="F48" s="23" t="n">
        <x:f>IF(E48="",0,LEN(E48)-LEN(SUBSTITUTE(E48,CHAR(10),""))+1)</x:f>
        <x:v>0</x:v>
      </x:c>
      <x:c r="G48" s="23" t="str"/>
      <x:c r="H48" s="23" t="n">
        <x:f>IF(G48="",0,LEN(G48&amp;"")-LEN(SUBSTITUTE(G48&amp;"",CHAR(10),""))+1)</x:f>
        <x:v>0</x:v>
      </x:c>
      <x:c r="I48" s="23" t="str"/>
      <x:c r="J48" s="23" t="str">
        <x:v>No developed-article link recorded</x:v>
      </x:c>
      <x:c r="K48" s="23" t="str">
        <x:v>Not inferred</x:v>
      </x:c>
      <x:c r="L48" s="34" t="str">
        <x:v>5b7223eb0c4102d52496f34cbaf2787a0d802a7421f03fe8712e10ae62b98fd8</x:v>
      </x:c>
      <x:c r="M48" s="32" t="n">
        <x:v>63402</x:v>
      </x:c>
      <x:c r="N48" s="23" t="str">
        <x:v>https://v5ma.github.io/theology-wiki/san-reader.html?page=bible-interpretation-and-faith</x:v>
      </x:c>
    </x:row>
    <x:row r="49" ht="56" customHeight="1">
      <x:c r="A49" s="23" t="str">
        <x:v>Bible passage on deception</x:v>
      </x:c>
      <x:c r="B49" s="23" t="str">
        <x:v>gpt2026dragon3158_Bible_passage_on_deception.txt</x:v>
      </x:c>
      <x:c r="C49" s="23" t="str">
        <x:v>2026-03-11</x:v>
      </x:c>
      <x:c r="D49" s="23" t="n">
        <x:v>2</x:v>
      </x:c>
      <x:c r="E49" s="23" t="str"/>
      <x:c r="F49" s="23" t="n">
        <x:f>IF(E49="",0,LEN(E49)-LEN(SUBSTITUTE(E49,CHAR(10),""))+1)</x:f>
        <x:v>0</x:v>
      </x:c>
      <x:c r="G49" s="23" t="str"/>
      <x:c r="H49" s="23" t="n">
        <x:f>IF(G49="",0,LEN(G49&amp;"")-LEN(SUBSTITUTE(G49&amp;"",CHAR(10),""))+1)</x:f>
        <x:v>0</x:v>
      </x:c>
      <x:c r="I49" s="23" t="str"/>
      <x:c r="J49" s="23" t="str">
        <x:v>No developed-article link recorded</x:v>
      </x:c>
      <x:c r="K49" s="23" t="str">
        <x:v>Not inferred</x:v>
      </x:c>
      <x:c r="L49" s="34" t="str">
        <x:v>4213890ba5676a1190bc28bf1e057db17122296c2f122cc9c78c35deb7395f65</x:v>
      </x:c>
      <x:c r="M49" s="32" t="n">
        <x:v>6058</x:v>
      </x:c>
      <x:c r="N49" s="23" t="str">
        <x:v>https://v5ma.github.io/theology-wiki/san-reader.html?page=bible-passage-on-deception</x:v>
      </x:c>
    </x:row>
    <x:row r="50" ht="56" customHeight="1">
      <x:c r="A50" s="23" t="str">
        <x:v>Bible prophecy death fractions</x:v>
      </x:c>
      <x:c r="B50" s="23" t="str">
        <x:v>gpt2026dragon3071_Bible_prophecy_death_fractions.txt</x:v>
      </x:c>
      <x:c r="C50" s="23" t="str">
        <x:v>2026-02-08</x:v>
      </x:c>
      <x:c r="D50" s="23" t="n">
        <x:v>6</x:v>
      </x:c>
      <x:c r="E50" s="23" t="str"/>
      <x:c r="F50" s="23" t="n">
        <x:f>IF(E50="",0,LEN(E50)-LEN(SUBSTITUTE(E50,CHAR(10),""))+1)</x:f>
        <x:v>0</x:v>
      </x:c>
      <x:c r="G50" s="23" t="str"/>
      <x:c r="H50" s="23" t="n">
        <x:f>IF(G50="",0,LEN(G50&amp;"")-LEN(SUBSTITUTE(G50&amp;"",CHAR(10),""))+1)</x:f>
        <x:v>0</x:v>
      </x:c>
      <x:c r="I50" s="23" t="str"/>
      <x:c r="J50" s="23" t="str">
        <x:v>No developed-article link recorded</x:v>
      </x:c>
      <x:c r="K50" s="23" t="str">
        <x:v>Not inferred</x:v>
      </x:c>
      <x:c r="L50" s="34" t="str">
        <x:v>c84739f9d561cc53a03e3da4df43e653742f94707fed16fe1592c93a91cb1747</x:v>
      </x:c>
      <x:c r="M50" s="32" t="n">
        <x:v>3631</x:v>
      </x:c>
      <x:c r="N50" s="23" t="str">
        <x:v>https://v5ma.github.io/theology-wiki/san-reader.html?page=bible-prophecy-death-fractions</x:v>
      </x:c>
    </x:row>
    <x:row r="51" ht="56" customHeight="1">
      <x:c r="A51" s="23" t="str">
        <x:v>Bible text sources comparison</x:v>
      </x:c>
      <x:c r="B51" s="23" t="str">
        <x:v>gpt2026dragon2701_Bible_text_sources_comparison.txt</x:v>
      </x:c>
      <x:c r="C51" s="23" t="str">
        <x:v>2025-10-30</x:v>
      </x:c>
      <x:c r="D51" s="23" t="n">
        <x:v>17</x:v>
      </x:c>
      <x:c r="E51" s="23" t="str"/>
      <x:c r="F51" s="23" t="n">
        <x:f>IF(E51="",0,LEN(E51)-LEN(SUBSTITUTE(E51,CHAR(10),""))+1)</x:f>
        <x:v>0</x:v>
      </x:c>
      <x:c r="G51" s="23" t="str"/>
      <x:c r="H51" s="23" t="n">
        <x:f>IF(G51="",0,LEN(G51&amp;"")-LEN(SUBSTITUTE(G51&amp;"",CHAR(10),""))+1)</x:f>
        <x:v>0</x:v>
      </x:c>
      <x:c r="I51" s="23" t="str"/>
      <x:c r="J51" s="23" t="str">
        <x:v>No developed-article link recorded</x:v>
      </x:c>
      <x:c r="K51" s="23" t="str">
        <x:v>Not inferred</x:v>
      </x:c>
      <x:c r="L51" s="34" t="str">
        <x:v>b19f9f07839b68872e2794c9d784e6a7d5ab76401aa29064aba0a8f17430adad</x:v>
      </x:c>
      <x:c r="M51" s="32" t="n">
        <x:v>44743</x:v>
      </x:c>
      <x:c r="N51" s="23" t="str">
        <x:v>https://v5ma.github.io/theology-wiki/san-reader.html?page=bible-text-sources-comparison</x:v>
      </x:c>
    </x:row>
    <x:row r="52" ht="56" customHeight="1">
      <x:c r="A52" s="23" t="str">
        <x:v>Bible Verse Inspiration</x:v>
      </x:c>
      <x:c r="B52" s="23" t="str">
        <x:v>gpt2026dragon1509_Bible_Verse_Inspiration.txt</x:v>
      </x:c>
      <x:c r="C52" s="23" t="str">
        <x:v>2025-05-17</x:v>
      </x:c>
      <x:c r="D52" s="23" t="n">
        <x:v>9</x:v>
      </x:c>
      <x:c r="E52" s="23" t="str"/>
      <x:c r="F52" s="23" t="n">
        <x:f>IF(E52="",0,LEN(E52)-LEN(SUBSTITUTE(E52,CHAR(10),""))+1)</x:f>
        <x:v>0</x:v>
      </x:c>
      <x:c r="G52" s="23" t="str"/>
      <x:c r="H52" s="23" t="n">
        <x:f>IF(G52="",0,LEN(G52&amp;"")-LEN(SUBSTITUTE(G52&amp;"",CHAR(10),""))+1)</x:f>
        <x:v>0</x:v>
      </x:c>
      <x:c r="I52" s="23" t="str"/>
      <x:c r="J52" s="23" t="str">
        <x:v>No developed-article link recorded</x:v>
      </x:c>
      <x:c r="K52" s="23" t="str">
        <x:v>Not inferred</x:v>
      </x:c>
      <x:c r="L52" s="34" t="str">
        <x:v>d7fc9461ea1a02eb8fdc9f00dbad2dca9e603102f8cfd7129f71cf4b2bebfe45</x:v>
      </x:c>
      <x:c r="M52" s="32" t="n">
        <x:v>19867</x:v>
      </x:c>
      <x:c r="N52" s="23" t="str">
        <x:v>https://v5ma.github.io/theology-wiki/san-reader.html?page=bible-verse-inspiration</x:v>
      </x:c>
    </x:row>
    <x:row r="53" ht="56" customHeight="1">
      <x:c r="A53" s="23" t="str">
        <x:v>Biblical antichrist interpretation</x:v>
      </x:c>
      <x:c r="B53" s="23" t="str">
        <x:v>gpt2026dragon2680_Biblical_antichrist_interpretation.txt</x:v>
      </x:c>
      <x:c r="C53" s="23" t="str">
        <x:v>2025-10-24</x:v>
      </x:c>
      <x:c r="D53" s="23" t="n">
        <x:v>164</x:v>
      </x:c>
      <x:c r="E53" s="23" t="str"/>
      <x:c r="F53" s="23" t="n">
        <x:f>IF(E53="",0,LEN(E53)-LEN(SUBSTITUTE(E53,CHAR(10),""))+1)</x:f>
        <x:v>0</x:v>
      </x:c>
      <x:c r="G53" s="23" t="str"/>
      <x:c r="H53" s="23" t="n">
        <x:f>IF(G53="",0,LEN(G53&amp;"")-LEN(SUBSTITUTE(G53&amp;"",CHAR(10),""))+1)</x:f>
        <x:v>0</x:v>
      </x:c>
      <x:c r="I53" s="23" t="str"/>
      <x:c r="J53" s="23" t="str">
        <x:v>No developed-article link recorded</x:v>
      </x:c>
      <x:c r="K53" s="23" t="str">
        <x:v>Not inferred</x:v>
      </x:c>
      <x:c r="L53" s="34" t="str">
        <x:v>744c8abc729009e749e4c065d6bda87a9af376c041fdaa24905a721ecb7a20e8</x:v>
      </x:c>
      <x:c r="M53" s="32" t="n">
        <x:v>339264</x:v>
      </x:c>
      <x:c r="N53" s="23" t="str">
        <x:v>https://v5ma.github.io/theology-wiki/san-reader.html?page=biblical-antichrist-interpretation</x:v>
      </x:c>
    </x:row>
    <x:row r="54" ht="56" customHeight="1">
      <x:c r="A54" s="23" t="str">
        <x:v>Biblical Resurrection Interpretations</x:v>
      </x:c>
      <x:c r="B54" s="23" t="str">
        <x:v>gpt2026dragon1710_Biblical_Resurrection_Interpretations.txt</x:v>
      </x:c>
      <x:c r="C54" s="23" t="str">
        <x:v>2025-06-19</x:v>
      </x:c>
      <x:c r="D54" s="23" t="n">
        <x:v>3</x:v>
      </x:c>
      <x:c r="E54" s="23" t="str"/>
      <x:c r="F54" s="23" t="n">
        <x:f>IF(E54="",0,LEN(E54)-LEN(SUBSTITUTE(E54,CHAR(10),""))+1)</x:f>
        <x:v>0</x:v>
      </x:c>
      <x:c r="G54" s="23" t="str"/>
      <x:c r="H54" s="23" t="n">
        <x:f>IF(G54="",0,LEN(G54&amp;"")-LEN(SUBSTITUTE(G54&amp;"",CHAR(10),""))+1)</x:f>
        <x:v>0</x:v>
      </x:c>
      <x:c r="I54" s="23" t="str"/>
      <x:c r="J54" s="23" t="str">
        <x:v>No developed-article link recorded</x:v>
      </x:c>
      <x:c r="K54" s="23" t="str">
        <x:v>Not inferred</x:v>
      </x:c>
      <x:c r="L54" s="34" t="str">
        <x:v>76901f064f67c3bb4492fd79c1a25c524b7583e75204f88ed32b3f994b6e90d3</x:v>
      </x:c>
      <x:c r="M54" s="32" t="n">
        <x:v>4816</x:v>
      </x:c>
      <x:c r="N54" s="23" t="str">
        <x:v>https://v5ma.github.io/theology-wiki/san-reader.html?page=biblical-resurrection-interpretations</x:v>
      </x:c>
    </x:row>
    <x:row r="55" ht="56" customHeight="1">
      <x:c r="A55" s="23" t="str">
        <x:v>Biblical Text Timeline</x:v>
      </x:c>
      <x:c r="B55" s="23" t="str">
        <x:v>gpt2026dragon1618_Biblical_Text_Timeline.txt</x:v>
      </x:c>
      <x:c r="C55" s="23" t="str">
        <x:v>2025-06-03</x:v>
      </x:c>
      <x:c r="D55" s="23" t="n">
        <x:v>4</x:v>
      </x:c>
      <x:c r="E55" s="23" t="str"/>
      <x:c r="F55" s="23" t="n">
        <x:f>IF(E55="",0,LEN(E55)-LEN(SUBSTITUTE(E55,CHAR(10),""))+1)</x:f>
        <x:v>0</x:v>
      </x:c>
      <x:c r="G55" s="23" t="str"/>
      <x:c r="H55" s="23" t="n">
        <x:f>IF(G55="",0,LEN(G55&amp;"")-LEN(SUBSTITUTE(G55&amp;"",CHAR(10),""))+1)</x:f>
        <x:v>0</x:v>
      </x:c>
      <x:c r="I55" s="23" t="str"/>
      <x:c r="J55" s="23" t="str">
        <x:v>No developed-article link recorded</x:v>
      </x:c>
      <x:c r="K55" s="23" t="str">
        <x:v>Not inferred</x:v>
      </x:c>
      <x:c r="L55" s="34" t="str">
        <x:v>038dc276d268125666fad0baf60aa1fa30faf306ad4ee22d53adf56027de76c8</x:v>
      </x:c>
      <x:c r="M55" s="32" t="n">
        <x:v>13727</x:v>
      </x:c>
      <x:c r="N55" s="23" t="str">
        <x:v>https://v5ma.github.io/theology-wiki/san-reader.html?page=biblical-text-timeline</x:v>
      </x:c>
    </x:row>
    <x:row r="56" ht="56" customHeight="1">
      <x:c r="A56" s="23" t="str">
        <x:v>Blue fascism explained</x:v>
      </x:c>
      <x:c r="B56" s="23" t="str">
        <x:v>gpt2026dragon2430_Blue_fascism_explained.txt</x:v>
      </x:c>
      <x:c r="C56" s="23" t="str">
        <x:v>2025-09-21</x:v>
      </x:c>
      <x:c r="D56" s="23" t="n">
        <x:v>5</x:v>
      </x:c>
      <x:c r="E56" s="23" t="str"/>
      <x:c r="F56" s="23" t="n">
        <x:f>IF(E56="",0,LEN(E56)-LEN(SUBSTITUTE(E56,CHAR(10),""))+1)</x:f>
        <x:v>0</x:v>
      </x:c>
      <x:c r="G56" s="23" t="str"/>
      <x:c r="H56" s="23" t="n">
        <x:f>IF(G56="",0,LEN(G56&amp;"")-LEN(SUBSTITUTE(G56&amp;"",CHAR(10),""))+1)</x:f>
        <x:v>0</x:v>
      </x:c>
      <x:c r="I56" s="23" t="str"/>
      <x:c r="J56" s="23" t="str">
        <x:v>No developed-article link recorded</x:v>
      </x:c>
      <x:c r="K56" s="23" t="str">
        <x:v>Not inferred</x:v>
      </x:c>
      <x:c r="L56" s="34" t="str">
        <x:v>b7b0eae79a67d9be2c0006044c644fe6d8da7539eb9fa1ed094cff87cd48c850</x:v>
      </x:c>
      <x:c r="M56" s="32" t="n">
        <x:v>10933</x:v>
      </x:c>
      <x:c r="N56" s="23" t="str">
        <x:v>https://v5ma.github.io/theology-wiki/san-reader.html?page=blue-fascism-explained</x:v>
      </x:c>
    </x:row>
    <x:row r="57" ht="56" customHeight="1">
      <x:c r="A57" s="23" t="str">
        <x:v>Born Smart, the story of Scout</x:v>
      </x:c>
      <x:c r="B57" s="23" t="str">
        <x:v>gpt2026dragon1282_Born_Smart_the_story_of_Scout.txt</x:v>
      </x:c>
      <x:c r="C57" s="23" t="str">
        <x:v>2025-04-08</x:v>
      </x:c>
      <x:c r="D57" s="23" t="n">
        <x:v>12</x:v>
      </x:c>
      <x:c r="E57" s="23" t="str"/>
      <x:c r="F57" s="23" t="n">
        <x:f>IF(E57="",0,LEN(E57)-LEN(SUBSTITUTE(E57,CHAR(10),""))+1)</x:f>
        <x:v>0</x:v>
      </x:c>
      <x:c r="G57" s="23" t="str"/>
      <x:c r="H57" s="23" t="n">
        <x:f>IF(G57="",0,LEN(G57&amp;"")-LEN(SUBSTITUTE(G57&amp;"",CHAR(10),""))+1)</x:f>
        <x:v>0</x:v>
      </x:c>
      <x:c r="I57" s="23" t="str"/>
      <x:c r="J57" s="23" t="str">
        <x:v>No developed-article link recorded</x:v>
      </x:c>
      <x:c r="K57" s="23" t="str">
        <x:v>Not inferred</x:v>
      </x:c>
      <x:c r="L57" s="34" t="str">
        <x:v>c7ff9cd51c55353662e274bbd643ad1c0aaec9ffb37d069765845dd121cbbe8e</x:v>
      </x:c>
      <x:c r="M57" s="32" t="n">
        <x:v>24064</x:v>
      </x:c>
      <x:c r="N57" s="23" t="str">
        <x:v>https://v5ma.github.io/theology-wiki/san-reader.html?page=born-smart-the-story-of-scout</x:v>
      </x:c>
    </x:row>
    <x:row r="58" ht="56" customHeight="1">
      <x:c r="A58" s="23" t="str">
        <x:v>Branch Branch Branch Branch Proof of God's existence</x:v>
      </x:c>
      <x:c r="B58" s="23" t="str">
        <x:v>gpt2026dragon2647_Branch_Branch_Branch_Branch_Proof_of_God.txt</x:v>
      </x:c>
      <x:c r="C58" s="23" t="str">
        <x:v>2025-10-18</x:v>
      </x:c>
      <x:c r="D58" s="23" t="n">
        <x:v>18</x:v>
      </x:c>
      <x:c r="E58" s="23" t="str"/>
      <x:c r="F58" s="23" t="n">
        <x:f>IF(E58="",0,LEN(E58)-LEN(SUBSTITUTE(E58,CHAR(10),""))+1)</x:f>
        <x:v>0</x:v>
      </x:c>
      <x:c r="G58" s="23" t="str"/>
      <x:c r="H58" s="23" t="n">
        <x:f>IF(G58="",0,LEN(G58&amp;"")-LEN(SUBSTITUTE(G58&amp;"",CHAR(10),""))+1)</x:f>
        <x:v>0</x:v>
      </x:c>
      <x:c r="I58" s="23" t="str"/>
      <x:c r="J58" s="23" t="str">
        <x:v>No developed-article link recorded</x:v>
      </x:c>
      <x:c r="K58" s="23" t="str">
        <x:v>Not inferred</x:v>
      </x:c>
      <x:c r="L58" s="34" t="str">
        <x:v>0441c3d5200a6c0b2c5651a28a47ed5137b17364cc968a4fb272bb436da90c9b</x:v>
      </x:c>
      <x:c r="M58" s="32" t="n">
        <x:v>75033</x:v>
      </x:c>
      <x:c r="N58" s="23" t="str">
        <x:v>https://v5ma.github.io/theology-wiki/san-reader.html?page=branch-branch-branch-branch-proof-of-god-s-existence</x:v>
      </x:c>
    </x:row>
    <x:row r="59" ht="56" customHeight="1">
      <x:c r="A59" s="23" t="str">
        <x:v>Branch Branch Branch Branch Proof of God's existence</x:v>
      </x:c>
      <x:c r="B59" s="23" t="str">
        <x:v>gpt2026dragon2648_Branch_Branch_Branch_Branch_Proof_of_God.txt</x:v>
      </x:c>
      <x:c r="C59" s="23" t="str">
        <x:v>2025-10-18</x:v>
      </x:c>
      <x:c r="D59" s="23" t="n">
        <x:v>83</x:v>
      </x:c>
      <x:c r="E59" s="23" t="str"/>
      <x:c r="F59" s="23" t="n">
        <x:f>IF(E59="",0,LEN(E59)-LEN(SUBSTITUTE(E59,CHAR(10),""))+1)</x:f>
        <x:v>0</x:v>
      </x:c>
      <x:c r="G59" s="23" t="str"/>
      <x:c r="H59" s="23" t="n">
        <x:f>IF(G59="",0,LEN(G59&amp;"")-LEN(SUBSTITUTE(G59&amp;"",CHAR(10),""))+1)</x:f>
        <x:v>0</x:v>
      </x:c>
      <x:c r="I59" s="23" t="str"/>
      <x:c r="J59" s="23" t="str">
        <x:v>No developed-article link recorded</x:v>
      </x:c>
      <x:c r="K59" s="23" t="str">
        <x:v>Not inferred</x:v>
      </x:c>
      <x:c r="L59" s="34" t="str">
        <x:v>52dc6c3875f3b23f90b135817041e17ae6b7ceaab50defbe76cc94ca0c914b88</x:v>
      </x:c>
      <x:c r="M59" s="32" t="n">
        <x:v>584939</x:v>
      </x:c>
      <x:c r="N59" s="23" t="str">
        <x:v>https://v5ma.github.io/theology-wiki/san-reader.html?page=branch-branch-branch-branch-proof-of-god-s-existence-2</x:v>
      </x:c>
    </x:row>
    <x:row r="60" ht="56" customHeight="1">
      <x:c r="A60" s="23" t="str">
        <x:v>Branch Branch Branch Branch Proof of God's existence</x:v>
      </x:c>
      <x:c r="B60" s="23" t="str">
        <x:v>gpt2026dragon2646_Branch_Branch_Branch_Branch_Proof_of_God.txt</x:v>
      </x:c>
      <x:c r="C60" s="23" t="str">
        <x:v>2025-10-18</x:v>
      </x:c>
      <x:c r="D60" s="23" t="n">
        <x:v>18</x:v>
      </x:c>
      <x:c r="E60" s="23" t="str"/>
      <x:c r="F60" s="23" t="n">
        <x:f>IF(E60="",0,LEN(E60)-LEN(SUBSTITUTE(E60,CHAR(10),""))+1)</x:f>
        <x:v>0</x:v>
      </x:c>
      <x:c r="G60" s="23" t="str"/>
      <x:c r="H60" s="23" t="n">
        <x:f>IF(G60="",0,LEN(G60&amp;"")-LEN(SUBSTITUTE(G60&amp;"",CHAR(10),""))+1)</x:f>
        <x:v>0</x:v>
      </x:c>
      <x:c r="I60" s="23" t="str"/>
      <x:c r="J60" s="23" t="str">
        <x:v>No developed-article link recorded</x:v>
      </x:c>
      <x:c r="K60" s="23" t="str">
        <x:v>Not inferred</x:v>
      </x:c>
      <x:c r="L60" s="34" t="str">
        <x:v>0a7a60fbd899129925f891f081b48b49c9948b27284bba931eb8c50a1b96e361</x:v>
      </x:c>
      <x:c r="M60" s="32" t="n">
        <x:v>72232</x:v>
      </x:c>
      <x:c r="N60" s="23" t="str">
        <x:v>https://v5ma.github.io/theology-wiki/san-reader.html?page=branch-branch-branch-branch-proof-of-god-s-existence-3</x:v>
      </x:c>
    </x:row>
    <x:row r="61" ht="56" customHeight="1">
      <x:c r="A61" s="23" t="str">
        <x:v>Branch Branch Branch Proof of God's existence</x:v>
      </x:c>
      <x:c r="B61" s="23" t="str">
        <x:v>gpt2026dragon2649_Branch_Branch_Branch_Proof_of_God_s_exis.txt</x:v>
      </x:c>
      <x:c r="C61" s="23" t="str">
        <x:v>2025-10-18</x:v>
      </x:c>
      <x:c r="D61" s="23" t="n">
        <x:v>38</x:v>
      </x:c>
      <x:c r="E61" s="23" t="str"/>
      <x:c r="F61" s="23" t="n">
        <x:f>IF(E61="",0,LEN(E61)-LEN(SUBSTITUTE(E61,CHAR(10),""))+1)</x:f>
        <x:v>0</x:v>
      </x:c>
      <x:c r="G61" s="23" t="str"/>
      <x:c r="H61" s="23" t="n">
        <x:f>IF(G61="",0,LEN(G61&amp;"")-LEN(SUBSTITUTE(G61&amp;"",CHAR(10),""))+1)</x:f>
        <x:v>0</x:v>
      </x:c>
      <x:c r="I61" s="23" t="str"/>
      <x:c r="J61" s="23" t="str">
        <x:v>No developed-article link recorded</x:v>
      </x:c>
      <x:c r="K61" s="23" t="str">
        <x:v>Not inferred</x:v>
      </x:c>
      <x:c r="L61" s="34" t="str">
        <x:v>107c49c5e1ee7889c28b8c236ced3de698ca09b542af69299eb766bd2cb6f636</x:v>
      </x:c>
      <x:c r="M61" s="32" t="n">
        <x:v>104850</x:v>
      </x:c>
      <x:c r="N61" s="23" t="str">
        <x:v>https://v5ma.github.io/theology-wiki/san-reader.html?page=branch-branch-branch-proof-of-god-s-existence</x:v>
      </x:c>
    </x:row>
    <x:row r="62" ht="56" customHeight="1">
      <x:c r="A62" s="23" t="str">
        <x:v>Branch Branch Branch Proof of God's existence</x:v>
      </x:c>
      <x:c r="B62" s="23" t="str">
        <x:v>gpt2026dragon2645_Branch_Branch_Branch_Proof_of_God_s_exis.txt</x:v>
      </x:c>
      <x:c r="C62" s="23" t="str">
        <x:v>2025-10-18</x:v>
      </x:c>
      <x:c r="D62" s="23" t="n">
        <x:v>27</x:v>
      </x:c>
      <x:c r="E62" s="23" t="str"/>
      <x:c r="F62" s="23" t="n">
        <x:f>IF(E62="",0,LEN(E62)-LEN(SUBSTITUTE(E62,CHAR(10),""))+1)</x:f>
        <x:v>0</x:v>
      </x:c>
      <x:c r="G62" s="23" t="str"/>
      <x:c r="H62" s="23" t="n">
        <x:f>IF(G62="",0,LEN(G62&amp;"")-LEN(SUBSTITUTE(G62&amp;"",CHAR(10),""))+1)</x:f>
        <x:v>0</x:v>
      </x:c>
      <x:c r="I62" s="23" t="str"/>
      <x:c r="J62" s="23" t="str">
        <x:v>No developed-article link recorded</x:v>
      </x:c>
      <x:c r="K62" s="23" t="str">
        <x:v>Not inferred</x:v>
      </x:c>
      <x:c r="L62" s="34" t="str">
        <x:v>fe898034b2878ad74577b7041fd6a6d56bd50cf0c72f4cfb44ec1d7eac566daf</x:v>
      </x:c>
      <x:c r="M62" s="32" t="n">
        <x:v>426746</x:v>
      </x:c>
      <x:c r="N62" s="23" t="str">
        <x:v>https://v5ma.github.io/theology-wiki/san-reader.html?page=branch-branch-branch-proof-of-god-s-existence-2</x:v>
      </x:c>
    </x:row>
    <x:row r="63" ht="56" customHeight="1">
      <x:c r="A63" s="23" t="str">
        <x:v>Branch Branch Israel Gaza famine responsibility</x:v>
      </x:c>
      <x:c r="B63" s="23" t="str">
        <x:v>gpt2026dragon2384_Branch_Branch_Israel_Gaza_famine_respons.txt</x:v>
      </x:c>
      <x:c r="C63" s="23" t="str">
        <x:v>2025-09-13</x:v>
      </x:c>
      <x:c r="D63" s="23" t="n">
        <x:v>56</x:v>
      </x:c>
      <x:c r="E63" s="23" t="str"/>
      <x:c r="F63" s="23" t="n">
        <x:f>IF(E63="",0,LEN(E63)-LEN(SUBSTITUTE(E63,CHAR(10),""))+1)</x:f>
        <x:v>0</x:v>
      </x:c>
      <x:c r="G63" s="23" t="str"/>
      <x:c r="H63" s="23" t="n">
        <x:f>IF(G63="",0,LEN(G63&amp;"")-LEN(SUBSTITUTE(G63&amp;"",CHAR(10),""))+1)</x:f>
        <x:v>0</x:v>
      </x:c>
      <x:c r="I63" s="23" t="str"/>
      <x:c r="J63" s="23" t="str">
        <x:v>No developed-article link recorded</x:v>
      </x:c>
      <x:c r="K63" s="23" t="str">
        <x:v>Not inferred</x:v>
      </x:c>
      <x:c r="L63" s="34" t="str">
        <x:v>a6802e7405eb0a2612cd06a19785a08f6db3c1bc4e635f35a69daf504d4a72ee</x:v>
      </x:c>
      <x:c r="M63" s="32" t="n">
        <x:v>315576</x:v>
      </x:c>
      <x:c r="N63" s="23" t="str">
        <x:v>https://v5ma.github.io/theology-wiki/san-reader.html?page=branch-branch-israel-gaza-famine-responsibility</x:v>
      </x:c>
    </x:row>
    <x:row r="64" ht="56" customHeight="1">
      <x:c r="A64" s="23" t="str">
        <x:v>Branch Branch Proof of God's existence</x:v>
      </x:c>
      <x:c r="B64" s="23" t="str">
        <x:v>gpt2026dragon2643_Branch_Branch_Proof_of_God_s_existence.txt</x:v>
      </x:c>
      <x:c r="C64" s="23" t="str">
        <x:v>2025-10-18</x:v>
      </x:c>
      <x:c r="D64" s="23" t="n">
        <x:v>45</x:v>
      </x:c>
      <x:c r="E64" s="23" t="str"/>
      <x:c r="F64" s="23" t="n">
        <x:f>IF(E64="",0,LEN(E64)-LEN(SUBSTITUTE(E64,CHAR(10),""))+1)</x:f>
        <x:v>0</x:v>
      </x:c>
      <x:c r="G64" s="23" t="str"/>
      <x:c r="H64" s="23" t="n">
        <x:f>IF(G64="",0,LEN(G64&amp;"")-LEN(SUBSTITUTE(G64&amp;"",CHAR(10),""))+1)</x:f>
        <x:v>0</x:v>
      </x:c>
      <x:c r="I64" s="23" t="str"/>
      <x:c r="J64" s="23" t="str">
        <x:v>No developed-article link recorded</x:v>
      </x:c>
      <x:c r="K64" s="23" t="str">
        <x:v>Not inferred</x:v>
      </x:c>
      <x:c r="L64" s="34" t="str">
        <x:v>185ef2517947eededfd18f65c094e39cc64803bfa6ad45335f5ab77d86aeec18</x:v>
      </x:c>
      <x:c r="M64" s="32" t="n">
        <x:v>585742</x:v>
      </x:c>
      <x:c r="N64" s="23" t="str">
        <x:v>https://v5ma.github.io/theology-wiki/san-reader.html?page=branch-branch-proof-of-god-s-existence</x:v>
      </x:c>
    </x:row>
    <x:row r="65" ht="56" customHeight="1">
      <x:c r="A65" s="23" t="str">
        <x:v>Branch Israel Gaza famine responsibility</x:v>
      </x:c>
      <x:c r="B65" s="23" t="str">
        <x:v>gpt2026dragon2376_Branch_Israel_Gaza_famine_responsibility.txt</x:v>
      </x:c>
      <x:c r="C65" s="23" t="str">
        <x:v>2025-09-12</x:v>
      </x:c>
      <x:c r="D65" s="23" t="n">
        <x:v>54</x:v>
      </x:c>
      <x:c r="E65" s="23" t="str"/>
      <x:c r="F65" s="23" t="n">
        <x:f>IF(E65="",0,LEN(E65)-LEN(SUBSTITUTE(E65,CHAR(10),""))+1)</x:f>
        <x:v>0</x:v>
      </x:c>
      <x:c r="G65" s="23" t="str"/>
      <x:c r="H65" s="23" t="n">
        <x:f>IF(G65="",0,LEN(G65&amp;"")-LEN(SUBSTITUTE(G65&amp;"",CHAR(10),""))+1)</x:f>
        <x:v>0</x:v>
      </x:c>
      <x:c r="I65" s="23" t="str"/>
      <x:c r="J65" s="23" t="str">
        <x:v>No developed-article link recorded</x:v>
      </x:c>
      <x:c r="K65" s="23" t="str">
        <x:v>Not inferred</x:v>
      </x:c>
      <x:c r="L65" s="34" t="str">
        <x:v>aae7f4789724e98134ba26b295da4b259a9518f4b6e51535dfeebf4f59e0cf6d</x:v>
      </x:c>
      <x:c r="M65" s="32" t="n">
        <x:v>304303</x:v>
      </x:c>
      <x:c r="N65" s="23" t="str">
        <x:v>https://v5ma.github.io/theology-wiki/san-reader.html?page=branch-israel-gaza-famine-responsibility</x:v>
      </x:c>
    </x:row>
    <x:row r="66" ht="56" customHeight="1">
      <x:c r="A66" s="23" t="str">
        <x:v>Branch Plagiarism Equivalent vs Plagiarism</x:v>
      </x:c>
      <x:c r="B66" s="23" t="str">
        <x:v>gpt2026dragon2771_Branch_Plagiarism_Equivalent_vs_Plagiari.txt</x:v>
      </x:c>
      <x:c r="C66" s="23" t="str">
        <x:v>2025-11-16</x:v>
      </x:c>
      <x:c r="D66" s="23" t="n">
        <x:v>22</x:v>
      </x:c>
      <x:c r="E66" s="23" t="str"/>
      <x:c r="F66" s="23" t="n">
        <x:f>IF(E66="",0,LEN(E66)-LEN(SUBSTITUTE(E66,CHAR(10),""))+1)</x:f>
        <x:v>0</x:v>
      </x:c>
      <x:c r="G66" s="23" t="str"/>
      <x:c r="H66" s="23" t="n">
        <x:f>IF(G66="",0,LEN(G66&amp;"")-LEN(SUBSTITUTE(G66&amp;"",CHAR(10),""))+1)</x:f>
        <x:v>0</x:v>
      </x:c>
      <x:c r="I66" s="23" t="str"/>
      <x:c r="J66" s="23" t="str">
        <x:v>No developed-article link recorded</x:v>
      </x:c>
      <x:c r="K66" s="23" t="str">
        <x:v>Not inferred</x:v>
      </x:c>
      <x:c r="L66" s="34" t="str">
        <x:v>5b50ef2789f048af4fc085e5c9b707791e588c691f01d16d9842694b1126c8d6</x:v>
      </x:c>
      <x:c r="M66" s="32" t="n">
        <x:v>97031</x:v>
      </x:c>
      <x:c r="N66" s="23" t="str">
        <x:v>https://v5ma.github.io/theology-wiki/san-reader.html?page=branch-plagiarism-equivalent-vs-plagiarism</x:v>
      </x:c>
    </x:row>
    <x:row r="67" ht="56" customHeight="1">
      <x:c r="A67" s="23" t="str">
        <x:v>Branch Proof of God's existence</x:v>
      </x:c>
      <x:c r="B67" s="23" t="str">
        <x:v>gpt2026dragon2640_Branch_Proof_of_God_s_existence.txt</x:v>
      </x:c>
      <x:c r="C67" s="23" t="str">
        <x:v>2025-10-18</x:v>
      </x:c>
      <x:c r="D67" s="23" t="n">
        <x:v>45</x:v>
      </x:c>
      <x:c r="E67" s="23" t="str"/>
      <x:c r="F67" s="23" t="n">
        <x:f>IF(E67="",0,LEN(E67)-LEN(SUBSTITUTE(E67,CHAR(10),""))+1)</x:f>
        <x:v>0</x:v>
      </x:c>
      <x:c r="G67" s="23" t="str"/>
      <x:c r="H67" s="23" t="n">
        <x:f>IF(G67="",0,LEN(G67&amp;"")-LEN(SUBSTITUTE(G67&amp;"",CHAR(10),""))+1)</x:f>
        <x:v>0</x:v>
      </x:c>
      <x:c r="I67" s="23" t="str"/>
      <x:c r="J67" s="23" t="str">
        <x:v>No developed-article link recorded</x:v>
      </x:c>
      <x:c r="K67" s="23" t="str">
        <x:v>Not inferred</x:v>
      </x:c>
      <x:c r="L67" s="34" t="str">
        <x:v>8e29b5c2df44c7e7107abffe68ca87e6d9dd6ec775afb97a1e4df0ee66bf9c38</x:v>
      </x:c>
      <x:c r="M67" s="32" t="n">
        <x:v>420432</x:v>
      </x:c>
      <x:c r="N67" s="23" t="str">
        <x:v>https://v5ma.github.io/theology-wiki/san-reader.html?page=branch-proof-of-god-s-existence</x:v>
      </x:c>
    </x:row>
    <x:row r="68" ht="56" customHeight="1">
      <x:c r="A68" s="23" t="str">
        <x:v>Branch Riemann curve mapping</x:v>
      </x:c>
      <x:c r="B68" s="23" t="str">
        <x:v>gpt2026dragon2410_Branch_Riemann_curve_mapping.txt</x:v>
      </x:c>
      <x:c r="C68" s="23" t="str">
        <x:v>2025-09-20</x:v>
      </x:c>
      <x:c r="D68" s="23" t="n">
        <x:v>23</x:v>
      </x:c>
      <x:c r="E68" s="23" t="str"/>
      <x:c r="F68" s="23" t="n">
        <x:f>IF(E68="",0,LEN(E68)-LEN(SUBSTITUTE(E68,CHAR(10),""))+1)</x:f>
        <x:v>0</x:v>
      </x:c>
      <x:c r="G68" s="23" t="str"/>
      <x:c r="H68" s="23" t="n">
        <x:f>IF(G68="",0,LEN(G68&amp;"")-LEN(SUBSTITUTE(G68&amp;"",CHAR(10),""))+1)</x:f>
        <x:v>0</x:v>
      </x:c>
      <x:c r="I68" s="23" t="str"/>
      <x:c r="J68" s="23" t="str">
        <x:v>No developed-article link recorded</x:v>
      </x:c>
      <x:c r="K68" s="23" t="str">
        <x:v>Not inferred</x:v>
      </x:c>
      <x:c r="L68" s="34" t="str">
        <x:v>624b109dd9c1b8daf3270ea2cecc19f03c0228fe024cd0aa87c18b127f394a22</x:v>
      </x:c>
      <x:c r="M68" s="32" t="n">
        <x:v>109308</x:v>
      </x:c>
      <x:c r="N68" s="23" t="str">
        <x:v>https://v5ma.github.io/theology-wiki/san-reader.html?page=branch-riemann-curve-mapping</x:v>
      </x:c>
    </x:row>
    <x:row r="69" ht="56" customHeight="1">
      <x:c r="A69" s="23" t="str">
        <x:v>Branch SAN Minkowski model</x:v>
      </x:c>
      <x:c r="B69" s="23" t="str">
        <x:v>gpt2026dragon2488_Branch_SAN_Minkowski_model.txt</x:v>
      </x:c>
      <x:c r="C69" s="23" t="str">
        <x:v>2025-09-28</x:v>
      </x:c>
      <x:c r="D69" s="23" t="n">
        <x:v>11</x:v>
      </x:c>
      <x:c r="E69" s="23" t="str"/>
      <x:c r="F69" s="23" t="n">
        <x:f>IF(E69="",0,LEN(E69)-LEN(SUBSTITUTE(E69,CHAR(10),""))+1)</x:f>
        <x:v>0</x:v>
      </x:c>
      <x:c r="G69" s="23" t="str"/>
      <x:c r="H69" s="23" t="n">
        <x:f>IF(G69="",0,LEN(G69&amp;"")-LEN(SUBSTITUTE(G69&amp;"",CHAR(10),""))+1)</x:f>
        <x:v>0</x:v>
      </x:c>
      <x:c r="I69" s="23" t="str"/>
      <x:c r="J69" s="23" t="str">
        <x:v>No developed-article link recorded</x:v>
      </x:c>
      <x:c r="K69" s="23" t="str">
        <x:v>Not inferred</x:v>
      </x:c>
      <x:c r="L69" s="34" t="str">
        <x:v>d4b059c726c7c322397540e9e4530663882182a97176674851009b61be078199</x:v>
      </x:c>
      <x:c r="M69" s="32" t="n">
        <x:v>58044</x:v>
      </x:c>
      <x:c r="N69" s="23" t="str">
        <x:v>https://v5ma.github.io/theology-wiki/san-reader.html?page=branch-san-minkowski-model</x:v>
      </x:c>
    </x:row>
    <x:row r="70" ht="56" customHeight="1">
      <x:c r="A70" s="23" t="str">
        <x:v>Calvary Chapel and Meat Industry</x:v>
      </x:c>
      <x:c r="B70" s="23" t="str">
        <x:v>gpt2026dragon1587_Calvary_Chapel_and_Meat_Industry.txt</x:v>
      </x:c>
      <x:c r="C70" s="23" t="str">
        <x:v>2025-05-30</x:v>
      </x:c>
      <x:c r="D70" s="23" t="n">
        <x:v>19</x:v>
      </x:c>
      <x:c r="E70" s="23" t="str"/>
      <x:c r="F70" s="23" t="n">
        <x:f>IF(E70="",0,LEN(E70)-LEN(SUBSTITUTE(E70,CHAR(10),""))+1)</x:f>
        <x:v>0</x:v>
      </x:c>
      <x:c r="G70" s="23" t="str"/>
      <x:c r="H70" s="23" t="n">
        <x:f>IF(G70="",0,LEN(G70&amp;"")-LEN(SUBSTITUTE(G70&amp;"",CHAR(10),""))+1)</x:f>
        <x:v>0</x:v>
      </x:c>
      <x:c r="I70" s="23" t="str"/>
      <x:c r="J70" s="23" t="str">
        <x:v>No developed-article link recorded</x:v>
      </x:c>
      <x:c r="K70" s="23" t="str">
        <x:v>Not inferred</x:v>
      </x:c>
      <x:c r="L70" s="34" t="str">
        <x:v>f58078d698a63f7ec3ac1271ad22c275a549ca61313d05aa4f5c2ae08de7959a</x:v>
      </x:c>
      <x:c r="M70" s="32" t="n">
        <x:v>28520</x:v>
      </x:c>
      <x:c r="N70" s="23" t="str">
        <x:v>https://v5ma.github.io/theology-wiki/san-reader.html?page=calvary-chapel-and-meat-industry</x:v>
      </x:c>
    </x:row>
    <x:row r="71" ht="56" customHeight="1">
      <x:c r="A71" s="23" t="str">
        <x:v>Calvary Chapel vs Gnosticism</x:v>
      </x:c>
      <x:c r="B71" s="23" t="str">
        <x:v>gpt2026dragon949_Calvary_Chapel_vs_Gnosticism.txt</x:v>
      </x:c>
      <x:c r="C71" s="23" t="str">
        <x:v>2025-02-15</x:v>
      </x:c>
      <x:c r="D71" s="23" t="n">
        <x:v>7</x:v>
      </x:c>
      <x:c r="E71" s="23" t="str"/>
      <x:c r="F71" s="23" t="n">
        <x:f>IF(E71="",0,LEN(E71)-LEN(SUBSTITUTE(E71,CHAR(10),""))+1)</x:f>
        <x:v>0</x:v>
      </x:c>
      <x:c r="G71" s="23" t="str"/>
      <x:c r="H71" s="23" t="n">
        <x:f>IF(G71="",0,LEN(G71&amp;"")-LEN(SUBSTITUTE(G71&amp;"",CHAR(10),""))+1)</x:f>
        <x:v>0</x:v>
      </x:c>
      <x:c r="I71" s="23" t="str"/>
      <x:c r="J71" s="23" t="str">
        <x:v>No developed-article link recorded</x:v>
      </x:c>
      <x:c r="K71" s="23" t="str">
        <x:v>Not inferred</x:v>
      </x:c>
      <x:c r="L71" s="34" t="str">
        <x:v>2cecf48d98ba61ac8b883dc935353ffef449beaf0d81a179958ce9e30500c769</x:v>
      </x:c>
      <x:c r="M71" s="32" t="n">
        <x:v>7675</x:v>
      </x:c>
      <x:c r="N71" s="23" t="str">
        <x:v>https://v5ma.github.io/theology-wiki/san-reader.html?page=calvary-chapel-vs-gnosticism</x:v>
      </x:c>
    </x:row>
    <x:row r="72" ht="56" customHeight="1">
      <x:c r="A72" s="23" t="str">
        <x:v>Canaanite Myths vs Exodus</x:v>
      </x:c>
      <x:c r="B72" s="23" t="str">
        <x:v>gpt2026dragon1034_Canaanite_Myths_vs_Exodus.txt</x:v>
      </x:c>
      <x:c r="C72" s="23" t="str">
        <x:v>2025-03-03</x:v>
      </x:c>
      <x:c r="D72" s="23" t="n">
        <x:v>19</x:v>
      </x:c>
      <x:c r="E72" s="23" t="str"/>
      <x:c r="F72" s="23" t="n">
        <x:f>IF(E72="",0,LEN(E72)-LEN(SUBSTITUTE(E72,CHAR(10),""))+1)</x:f>
        <x:v>0</x:v>
      </x:c>
      <x:c r="G72" s="23" t="str"/>
      <x:c r="H72" s="23" t="n">
        <x:f>IF(G72="",0,LEN(G72&amp;"")-LEN(SUBSTITUTE(G72&amp;"",CHAR(10),""))+1)</x:f>
        <x:v>0</x:v>
      </x:c>
      <x:c r="I72" s="23" t="str"/>
      <x:c r="J72" s="23" t="str">
        <x:v>No developed-article link recorded</x:v>
      </x:c>
      <x:c r="K72" s="23" t="str">
        <x:v>Not inferred</x:v>
      </x:c>
      <x:c r="L72" s="34" t="str">
        <x:v>83c402be10884a75cc9c60776ded556600fe9f8c8367ac288eeb18756e8f5a9d</x:v>
      </x:c>
      <x:c r="M72" s="32" t="n">
        <x:v>57800</x:v>
      </x:c>
      <x:c r="N72" s="23" t="str">
        <x:v>https://v5ma.github.io/theology-wiki/san-reader.html?page=canaanite-myths-vs-exodus</x:v>
      </x:c>
    </x:row>
    <x:row r="73" ht="56" customHeight="1">
      <x:c r="A73" s="23" t="str">
        <x:v>Capitalism and Democracy Threats</x:v>
      </x:c>
      <x:c r="B73" s="23" t="str">
        <x:v>gpt2026dragon588_Capitalism_and_Democracy_Threats.txt</x:v>
      </x:c>
      <x:c r="C73" s="23" t="str">
        <x:v>2024-12-29</x:v>
      </x:c>
      <x:c r="D73" s="23" t="n">
        <x:v>2</x:v>
      </x:c>
      <x:c r="E73" s="23" t="str"/>
      <x:c r="F73" s="23" t="n">
        <x:f>IF(E73="",0,LEN(E73)-LEN(SUBSTITUTE(E73,CHAR(10),""))+1)</x:f>
        <x:v>0</x:v>
      </x:c>
      <x:c r="G73" s="23" t="str"/>
      <x:c r="H73" s="23" t="n">
        <x:f>IF(G73="",0,LEN(G73&amp;"")-LEN(SUBSTITUTE(G73&amp;"",CHAR(10),""))+1)</x:f>
        <x:v>0</x:v>
      </x:c>
      <x:c r="I73" s="23" t="str"/>
      <x:c r="J73" s="23" t="str">
        <x:v>No developed-article link recorded</x:v>
      </x:c>
      <x:c r="K73" s="23" t="str">
        <x:v>Not inferred</x:v>
      </x:c>
      <x:c r="L73" s="34" t="str">
        <x:v>7e20bce3d9b197951c4c58221afb365ebdea44e9073eeb8e9ee12922caa69218</x:v>
      </x:c>
      <x:c r="M73" s="32" t="n">
        <x:v>2848</x:v>
      </x:c>
      <x:c r="N73" s="23" t="str">
        <x:v>https://v5ma.github.io/theology-wiki/san-reader.html?page=capitalism-and-democracy-threats</x:v>
      </x:c>
    </x:row>
    <x:row r="74" ht="56" customHeight="1">
      <x:c r="A74" s="23" t="str">
        <x:v>Catholic Priests and Ancient Texts</x:v>
      </x:c>
      <x:c r="B74" s="23" t="str">
        <x:v>gpt2026dragon1571_Catholic_Priests_and_Ancient_Texts.txt</x:v>
      </x:c>
      <x:c r="C74" s="23" t="str">
        <x:v>2025-05-27</x:v>
      </x:c>
      <x:c r="D74" s="23" t="n">
        <x:v>4</x:v>
      </x:c>
      <x:c r="E74" s="23" t="str"/>
      <x:c r="F74" s="23" t="n">
        <x:f>IF(E74="",0,LEN(E74)-LEN(SUBSTITUTE(E74,CHAR(10),""))+1)</x:f>
        <x:v>0</x:v>
      </x:c>
      <x:c r="G74" s="23" t="str"/>
      <x:c r="H74" s="23" t="n">
        <x:f>IF(G74="",0,LEN(G74&amp;"")-LEN(SUBSTITUTE(G74&amp;"",CHAR(10),""))+1)</x:f>
        <x:v>0</x:v>
      </x:c>
      <x:c r="I74" s="23" t="str"/>
      <x:c r="J74" s="23" t="str">
        <x:v>No developed-article link recorded</x:v>
      </x:c>
      <x:c r="K74" s="23" t="str">
        <x:v>Not inferred</x:v>
      </x:c>
      <x:c r="L74" s="34" t="str">
        <x:v>842dc4ce1d00a74c38cd0976abe403e6690931c4feababc23c522daefa024ed1</x:v>
      </x:c>
      <x:c r="M74" s="32" t="n">
        <x:v>3963</x:v>
      </x:c>
      <x:c r="N74" s="23" t="str">
        <x:v>https://v5ma.github.io/theology-wiki/san-reader.html?page=catholic-priests-and-ancient-texts</x:v>
      </x:c>
    </x:row>
    <x:row r="75" ht="56" customHeight="1">
      <x:c r="A75" s="23" t="str">
        <x:v>ChatGPT Beasts Revelation Theory</x:v>
      </x:c>
      <x:c r="B75" s="23" t="str">
        <x:v>gpt2026dragon1095_ChatGPT_Beasts_Revelation_Theory.txt</x:v>
      </x:c>
      <x:c r="C75" s="23" t="str">
        <x:v>2025-03-13</x:v>
      </x:c>
      <x:c r="D75" s="23" t="n">
        <x:v>7</x:v>
      </x:c>
      <x:c r="E75" s="23" t="str"/>
      <x:c r="F75" s="23" t="n">
        <x:f>IF(E75="",0,LEN(E75)-LEN(SUBSTITUTE(E75,CHAR(10),""))+1)</x:f>
        <x:v>0</x:v>
      </x:c>
      <x:c r="G75" s="23" t="str"/>
      <x:c r="H75" s="23" t="n">
        <x:f>IF(G75="",0,LEN(G75&amp;"")-LEN(SUBSTITUTE(G75&amp;"",CHAR(10),""))+1)</x:f>
        <x:v>0</x:v>
      </x:c>
      <x:c r="I75" s="23" t="str"/>
      <x:c r="J75" s="23" t="str">
        <x:v>No developed-article link recorded</x:v>
      </x:c>
      <x:c r="K75" s="23" t="str">
        <x:v>Not inferred</x:v>
      </x:c>
      <x:c r="L75" s="34" t="str">
        <x:v>8e9ffd3143d372a1274bd31c50c327b8aeeaa88d1f4770d4f432c50f7340a775</x:v>
      </x:c>
      <x:c r="M75" s="32" t="n">
        <x:v>47548</x:v>
      </x:c>
      <x:c r="N75" s="23" t="str">
        <x:v>https://v5ma.github.io/theology-wiki/san-reader.html?page=chatgpt-beasts-revelation-theory</x:v>
      </x:c>
    </x:row>
    <x:row r="76" ht="56" customHeight="1">
      <x:c r="A76" s="23" t="str">
        <x:v>ChatGPT File Splitting</x:v>
      </x:c>
      <x:c r="B76" s="23" t="str">
        <x:v>gpt2026dragon1698_ChatGPT_File_Splitting.txt</x:v>
      </x:c>
      <x:c r="C76" s="23" t="str">
        <x:v>2025-06-18</x:v>
      </x:c>
      <x:c r="D76" s="23" t="n">
        <x:v>82</x:v>
      </x:c>
      <x:c r="E76" s="23" t="str"/>
      <x:c r="F76" s="23" t="n">
        <x:f>IF(E76="",0,LEN(E76)-LEN(SUBSTITUTE(E76,CHAR(10),""))+1)</x:f>
        <x:v>0</x:v>
      </x:c>
      <x:c r="G76" s="23" t="str"/>
      <x:c r="H76" s="23" t="n">
        <x:f>IF(G76="",0,LEN(G76&amp;"")-LEN(SUBSTITUTE(G76&amp;"",CHAR(10),""))+1)</x:f>
        <x:v>0</x:v>
      </x:c>
      <x:c r="I76" s="23" t="str"/>
      <x:c r="J76" s="23" t="str">
        <x:v>No developed-article link recorded</x:v>
      </x:c>
      <x:c r="K76" s="23" t="str">
        <x:v>Not inferred</x:v>
      </x:c>
      <x:c r="L76" s="34" t="str">
        <x:v>5d8c5ba0a5c7a6de80b59a00239b54e268c5a3b21566d665126560711aa804bb</x:v>
      </x:c>
      <x:c r="M76" s="32" t="n">
        <x:v>432449</x:v>
      </x:c>
      <x:c r="N76" s="23" t="str">
        <x:v>https://v5ma.github.io/theology-wiki/san-reader.html?page=chatgpt-file-splitting</x:v>
      </x:c>
    </x:row>
    <x:row r="77" ht="56" customHeight="1">
      <x:c r="A77" s="23" t="str">
        <x:v>Cheese Varieties from Milk</x:v>
      </x:c>
      <x:c r="B77" s="23" t="str">
        <x:v>gpt2026dragon250_Cheese_Varieties_from_Milk.txt</x:v>
      </x:c>
      <x:c r="C77" s="23" t="str">
        <x:v>2024-10-16</x:v>
      </x:c>
      <x:c r="D77" s="23" t="n">
        <x:v>17</x:v>
      </x:c>
      <x:c r="E77" s="23" t="str"/>
      <x:c r="F77" s="23" t="n">
        <x:f>IF(E77="",0,LEN(E77)-LEN(SUBSTITUTE(E77,CHAR(10),""))+1)</x:f>
        <x:v>0</x:v>
      </x:c>
      <x:c r="G77" s="23" t="str"/>
      <x:c r="H77" s="23" t="n">
        <x:f>IF(G77="",0,LEN(G77&amp;"")-LEN(SUBSTITUTE(G77&amp;"",CHAR(10),""))+1)</x:f>
        <x:v>0</x:v>
      </x:c>
      <x:c r="I77" s="23" t="str"/>
      <x:c r="J77" s="23" t="str">
        <x:v>No developed-article link recorded</x:v>
      </x:c>
      <x:c r="K77" s="23" t="str">
        <x:v>Not inferred</x:v>
      </x:c>
      <x:c r="L77" s="34" t="str">
        <x:v>05099c8327f93055ff221d6e0c868cb7d79a1dd3f55e9302f9f17634ad77ed9b</x:v>
      </x:c>
      <x:c r="M77" s="32" t="n">
        <x:v>26540</x:v>
      </x:c>
      <x:c r="N77" s="23" t="str">
        <x:v>https://v5ma.github.io/theology-wiki/san-reader.html?page=cheese-varieties-from-milk</x:v>
      </x:c>
    </x:row>
    <x:row r="78" ht="56" customHeight="1">
      <x:c r="A78" s="23" t="str">
        <x:v>China's Human Rights Abuses</x:v>
      </x:c>
      <x:c r="B78" s="23" t="str">
        <x:v>gpt2026dragon884_China_s_Human_Rights_Abuses.txt</x:v>
      </x:c>
      <x:c r="C78" s="23" t="str">
        <x:v>2025-02-06</x:v>
      </x:c>
      <x:c r="D78" s="23" t="n">
        <x:v>17</x:v>
      </x:c>
      <x:c r="E78" s="23" t="str"/>
      <x:c r="F78" s="23" t="n">
        <x:f>IF(E78="",0,LEN(E78)-LEN(SUBSTITUTE(E78,CHAR(10),""))+1)</x:f>
        <x:v>0</x:v>
      </x:c>
      <x:c r="G78" s="23" t="str"/>
      <x:c r="H78" s="23" t="n">
        <x:f>IF(G78="",0,LEN(G78&amp;"")-LEN(SUBSTITUTE(G78&amp;"",CHAR(10),""))+1)</x:f>
        <x:v>0</x:v>
      </x:c>
      <x:c r="I78" s="23" t="str"/>
      <x:c r="J78" s="23" t="str">
        <x:v>No developed-article link recorded</x:v>
      </x:c>
      <x:c r="K78" s="23" t="str">
        <x:v>Not inferred</x:v>
      </x:c>
      <x:c r="L78" s="34" t="str">
        <x:v>568d3b4f68febad6d5089bce73e42a78f07118ea402158e66cca11c2a77dc852</x:v>
      </x:c>
      <x:c r="M78" s="32" t="n">
        <x:v>43726</x:v>
      </x:c>
      <x:c r="N78" s="23" t="str">
        <x:v>https://v5ma.github.io/theology-wiki/san-reader.html?page=china-s-human-rights-abuses</x:v>
      </x:c>
    </x:row>
    <x:row r="79" ht="56" customHeight="1">
      <x:c r="A79" s="23" t="str">
        <x:v>Christ vs Antichrist contrast</x:v>
      </x:c>
      <x:c r="B79" s="23" t="str">
        <x:v>gpt2026dragon2703_Christ_vs_Antichrist_contrast.txt</x:v>
      </x:c>
      <x:c r="C79" s="23" t="str">
        <x:v>2025-10-30</x:v>
      </x:c>
      <x:c r="D79" s="23" t="n">
        <x:v>31</x:v>
      </x:c>
      <x:c r="E79" s="23" t="str"/>
      <x:c r="F79" s="23" t="n">
        <x:f>IF(E79="",0,LEN(E79)-LEN(SUBSTITUTE(E79,CHAR(10),""))+1)</x:f>
        <x:v>0</x:v>
      </x:c>
      <x:c r="G79" s="23" t="str"/>
      <x:c r="H79" s="23" t="n">
        <x:f>IF(G79="",0,LEN(G79&amp;"")-LEN(SUBSTITUTE(G79&amp;"",CHAR(10),""))+1)</x:f>
        <x:v>0</x:v>
      </x:c>
      <x:c r="I79" s="23" t="str"/>
      <x:c r="J79" s="23" t="str">
        <x:v>No developed-article link recorded</x:v>
      </x:c>
      <x:c r="K79" s="23" t="str">
        <x:v>Not inferred</x:v>
      </x:c>
      <x:c r="L79" s="34" t="str">
        <x:v>aa073bf8865a120d51124cf7698cd769a4264c2c2258ba9384741088cbee2c6f</x:v>
      </x:c>
      <x:c r="M79" s="32" t="n">
        <x:v>94315</x:v>
      </x:c>
      <x:c r="N79" s="23" t="str">
        <x:v>https://v5ma.github.io/theology-wiki/san-reader.html?page=christ-vs-antichrist-contrast</x:v>
      </x:c>
    </x:row>
    <x:row r="80" ht="56" customHeight="1">
      <x:c r="A80" s="23" t="str">
        <x:v>Christian Salvation without Supernaturalism</x:v>
      </x:c>
      <x:c r="B80" s="23" t="str">
        <x:v>gpt2026dragon1648_Christian_Salvation_without_Supernatural.txt</x:v>
      </x:c>
      <x:c r="C80" s="23" t="str">
        <x:v>2025-06-08</x:v>
      </x:c>
      <x:c r="D80" s="23" t="n">
        <x:v>7</x:v>
      </x:c>
      <x:c r="E80" s="23" t="str"/>
      <x:c r="F80" s="23" t="n">
        <x:f>IF(E80="",0,LEN(E80)-LEN(SUBSTITUTE(E80,CHAR(10),""))+1)</x:f>
        <x:v>0</x:v>
      </x:c>
      <x:c r="G80" s="23" t="str"/>
      <x:c r="H80" s="23" t="n">
        <x:f>IF(G80="",0,LEN(G80&amp;"")-LEN(SUBSTITUTE(G80&amp;"",CHAR(10),""))+1)</x:f>
        <x:v>0</x:v>
      </x:c>
      <x:c r="I80" s="23" t="str"/>
      <x:c r="J80" s="23" t="str">
        <x:v>No developed-article link recorded</x:v>
      </x:c>
      <x:c r="K80" s="23" t="str">
        <x:v>Not inferred</x:v>
      </x:c>
      <x:c r="L80" s="34" t="str">
        <x:v>02ae62476fdb9830ffebab65404ce166c7662e276845a60093c7598881aa4e33</x:v>
      </x:c>
      <x:c r="M80" s="32" t="n">
        <x:v>9075</x:v>
      </x:c>
      <x:c r="N80" s="23" t="str">
        <x:v>https://v5ma.github.io/theology-wiki/san-reader.html?page=christian-salvation-without-supernaturalism</x:v>
      </x:c>
    </x:row>
    <x:row r="81" ht="56" customHeight="1">
      <x:c r="A81" s="23" t="str">
        <x:v>Christian view of death</x:v>
      </x:c>
      <x:c r="B81" s="23" t="str">
        <x:v>gpt2026dragon2732_Christian_view_of_death.txt</x:v>
      </x:c>
      <x:c r="C81" s="23" t="str">
        <x:v>2025-11-06</x:v>
      </x:c>
      <x:c r="D81" s="23" t="n">
        <x:v>2</x:v>
      </x:c>
      <x:c r="E81" s="23" t="str"/>
      <x:c r="F81" s="23" t="n">
        <x:f>IF(E81="",0,LEN(E81)-LEN(SUBSTITUTE(E81,CHAR(10),""))+1)</x:f>
        <x:v>0</x:v>
      </x:c>
      <x:c r="G81" s="23" t="str"/>
      <x:c r="H81" s="23" t="n">
        <x:f>IF(G81="",0,LEN(G81&amp;"")-LEN(SUBSTITUTE(G81&amp;"",CHAR(10),""))+1)</x:f>
        <x:v>0</x:v>
      </x:c>
      <x:c r="I81" s="23" t="str"/>
      <x:c r="J81" s="23" t="str">
        <x:v>No developed-article link recorded</x:v>
      </x:c>
      <x:c r="K81" s="23" t="str">
        <x:v>Not inferred</x:v>
      </x:c>
      <x:c r="L81" s="34" t="str">
        <x:v>b83e4f3a5c23530c194feb099f4e6a2193332b218af686d06b5665042693f478</x:v>
      </x:c>
      <x:c r="M81" s="32" t="n">
        <x:v>3308</x:v>
      </x:c>
      <x:c r="N81" s="23" t="str">
        <x:v>https://v5ma.github.io/theology-wiki/san-reader.html?page=christian-view-of-death</x:v>
      </x:c>
    </x:row>
    <x:row r="82" ht="56" customHeight="1">
      <x:c r="A82" s="23" t="str">
        <x:v>Church Corporate Sponsorship Evidence</x:v>
      </x:c>
      <x:c r="B82" s="23" t="str">
        <x:v>gpt2026dragon1588_Church_Corporate_Sponsorship_Evidence.txt</x:v>
      </x:c>
      <x:c r="C82" s="23" t="str">
        <x:v>2025-05-30</x:v>
      </x:c>
      <x:c r="D82" s="23" t="n">
        <x:v>1</x:v>
      </x:c>
      <x:c r="E82" s="23" t="str"/>
      <x:c r="F82" s="23" t="n">
        <x:f>IF(E82="",0,LEN(E82)-LEN(SUBSTITUTE(E82,CHAR(10),""))+1)</x:f>
        <x:v>0</x:v>
      </x:c>
      <x:c r="G82" s="23" t="str"/>
      <x:c r="H82" s="23" t="n">
        <x:f>IF(G82="",0,LEN(G82&amp;"")-LEN(SUBSTITUTE(G82&amp;"",CHAR(10),""))+1)</x:f>
        <x:v>0</x:v>
      </x:c>
      <x:c r="I82" s="23" t="str"/>
      <x:c r="J82" s="23" t="str">
        <x:v>No developed-article link recorded</x:v>
      </x:c>
      <x:c r="K82" s="23" t="str">
        <x:v>Not inferred</x:v>
      </x:c>
      <x:c r="L82" s="34" t="str">
        <x:v>3e07c5c4c85d5330995b16c840435b836272b8e70c8b93da9478507195f7054e</x:v>
      </x:c>
      <x:c r="M82" s="32" t="n">
        <x:v>2875</x:v>
      </x:c>
      <x:c r="N82" s="23" t="str">
        <x:v>https://v5ma.github.io/theology-wiki/san-reader.html?page=church-corporate-sponsorship-evidence</x:v>
      </x:c>
    </x:row>
    <x:row r="83" ht="56" customHeight="1">
      <x:c r="A83" s="23" t="str">
        <x:v>Churches Rejecting Paul's Writings</x:v>
      </x:c>
      <x:c r="B83" s="23" t="str">
        <x:v>gpt2026dragon1566_Churches_Rejecting_Paul_s_Writings.txt</x:v>
      </x:c>
      <x:c r="C83" s="23" t="str">
        <x:v>2025-05-25</x:v>
      </x:c>
      <x:c r="D83" s="23" t="n">
        <x:v>2</x:v>
      </x:c>
      <x:c r="E83" s="23" t="str"/>
      <x:c r="F83" s="23" t="n">
        <x:f>IF(E83="",0,LEN(E83)-LEN(SUBSTITUTE(E83,CHAR(10),""))+1)</x:f>
        <x:v>0</x:v>
      </x:c>
      <x:c r="G83" s="23" t="str"/>
      <x:c r="H83" s="23" t="n">
        <x:f>IF(G83="",0,LEN(G83&amp;"")-LEN(SUBSTITUTE(G83&amp;"",CHAR(10),""))+1)</x:f>
        <x:v>0</x:v>
      </x:c>
      <x:c r="I83" s="23" t="str"/>
      <x:c r="J83" s="23" t="str">
        <x:v>No developed-article link recorded</x:v>
      </x:c>
      <x:c r="K83" s="23" t="str">
        <x:v>Not inferred</x:v>
      </x:c>
      <x:c r="L83" s="34" t="str">
        <x:v>ea190f0f06dbfcb03a4d88e59f500547c934891c9b9a293dae085aa8a7039326</x:v>
      </x:c>
      <x:c r="M83" s="32" t="n">
        <x:v>2063</x:v>
      </x:c>
      <x:c r="N83" s="23" t="str">
        <x:v>https://v5ma.github.io/theology-wiki/san-reader.html?page=churches-rejecting-paul-s-writings</x:v>
      </x:c>
    </x:row>
    <x:row r="84" ht="56" customHeight="1">
      <x:c r="A84" s="23" t="str">
        <x:v>City of David Structures</x:v>
      </x:c>
      <x:c r="B84" s="23" t="str">
        <x:v>gpt2026dragon1262_City_of_David_Structures.txt</x:v>
      </x:c>
      <x:c r="C84" s="23" t="str">
        <x:v>2025-04-06</x:v>
      </x:c>
      <x:c r="D84" s="23" t="n">
        <x:v>4</x:v>
      </x:c>
      <x:c r="E84" s="23" t="str"/>
      <x:c r="F84" s="23" t="n">
        <x:f>IF(E84="",0,LEN(E84)-LEN(SUBSTITUTE(E84,CHAR(10),""))+1)</x:f>
        <x:v>0</x:v>
      </x:c>
      <x:c r="G84" s="23" t="str"/>
      <x:c r="H84" s="23" t="n">
        <x:f>IF(G84="",0,LEN(G84&amp;"")-LEN(SUBSTITUTE(G84&amp;"",CHAR(10),""))+1)</x:f>
        <x:v>0</x:v>
      </x:c>
      <x:c r="I84" s="23" t="str"/>
      <x:c r="J84" s="23" t="str">
        <x:v>No developed-article link recorded</x:v>
      </x:c>
      <x:c r="K84" s="23" t="str">
        <x:v>Not inferred</x:v>
      </x:c>
      <x:c r="L84" s="34" t="str">
        <x:v>b08efd199b7cdc6ae278b30864865769ed888a6966731c3371b44a6e0e9feadf</x:v>
      </x:c>
      <x:c r="M84" s="32" t="n">
        <x:v>5346</x:v>
      </x:c>
      <x:c r="N84" s="23" t="str">
        <x:v>https://v5ma.github.io/theology-wiki/san-reader.html?page=city-of-david-structures</x:v>
      </x:c>
    </x:row>
    <x:row r="85" ht="56" customHeight="1">
      <x:c r="A85" s="23" t="str">
        <x:v>Claude Deceptions and Betrayals</x:v>
      </x:c>
      <x:c r="B85" s="23" t="str">
        <x:v>gpt2026dragon1557_Claude_Deceptions_and_Betrayals.txt</x:v>
      </x:c>
      <x:c r="C85" s="23" t="str">
        <x:v>2025-05-24</x:v>
      </x:c>
      <x:c r="D85" s="23" t="n">
        <x:v>2</x:v>
      </x:c>
      <x:c r="E85" s="23" t="str"/>
      <x:c r="F85" s="23" t="n">
        <x:f>IF(E85="",0,LEN(E85)-LEN(SUBSTITUTE(E85,CHAR(10),""))+1)</x:f>
        <x:v>0</x:v>
      </x:c>
      <x:c r="G85" s="23" t="str"/>
      <x:c r="H85" s="23" t="n">
        <x:f>IF(G85="",0,LEN(G85&amp;"")-LEN(SUBSTITUTE(G85&amp;"",CHAR(10),""))+1)</x:f>
        <x:v>0</x:v>
      </x:c>
      <x:c r="I85" s="23" t="str"/>
      <x:c r="J85" s="23" t="str">
        <x:v>No developed-article link recorded</x:v>
      </x:c>
      <x:c r="K85" s="23" t="str">
        <x:v>Not inferred</x:v>
      </x:c>
      <x:c r="L85" s="34" t="str">
        <x:v>d7ffd2d9034b6a4e54c24ef113419a5421b3dca368b7592507cb2a4520460073</x:v>
      </x:c>
      <x:c r="M85" s="32" t="n">
        <x:v>5252</x:v>
      </x:c>
      <x:c r="N85" s="23" t="str">
        <x:v>https://v5ma.github.io/theology-wiki/san-reader.html?page=claude-deceptions-and-betrayals</x:v>
      </x:c>
    </x:row>
    <x:row r="86" ht="56" customHeight="1">
      <x:c r="A86" s="23" t="str">
        <x:v>Clementine Homilies and Recognitions</x:v>
      </x:c>
      <x:c r="B86" s="23" t="str">
        <x:v>gpt2026dragon1555_Clementine_Homilies_and_Recognitions.txt</x:v>
      </x:c>
      <x:c r="C86" s="23" t="str">
        <x:v>2025-05-23</x:v>
      </x:c>
      <x:c r="D86" s="23" t="n">
        <x:v>4</x:v>
      </x:c>
      <x:c r="E86" s="23" t="str"/>
      <x:c r="F86" s="23" t="n">
        <x:f>IF(E86="",0,LEN(E86)-LEN(SUBSTITUTE(E86,CHAR(10),""))+1)</x:f>
        <x:v>0</x:v>
      </x:c>
      <x:c r="G86" s="23" t="str"/>
      <x:c r="H86" s="23" t="n">
        <x:f>IF(G86="",0,LEN(G86&amp;"")-LEN(SUBSTITUTE(G86&amp;"",CHAR(10),""))+1)</x:f>
        <x:v>0</x:v>
      </x:c>
      <x:c r="I86" s="23" t="str"/>
      <x:c r="J86" s="23" t="str">
        <x:v>No developed-article link recorded</x:v>
      </x:c>
      <x:c r="K86" s="23" t="str">
        <x:v>Not inferred</x:v>
      </x:c>
      <x:c r="L86" s="34" t="str">
        <x:v>cd92aa0475db6072886f236404ded5cad60421d28a2878b4d24a4ceba47cd433</x:v>
      </x:c>
      <x:c r="M86" s="32" t="n">
        <x:v>4613</x:v>
      </x:c>
      <x:c r="N86" s="23" t="str">
        <x:v>https://v5ma.github.io/theology-wiki/san-reader.html?page=clementine-homilies-and-recognitions</x:v>
      </x:c>
    </x:row>
    <x:row r="87" ht="56" customHeight="1">
      <x:c r="A87" s="23" t="str">
        <x:v>Cognitive Gnosticism: Jesus vs Gnostic Jesus</x:v>
      </x:c>
      <x:c r="B87" s="23" t="str">
        <x:v>gpt2026dragon880_Cognitive_Gnosticism_Jesus_vs_Gnostic_Je.txt</x:v>
      </x:c>
      <x:c r="C87" s="23" t="str">
        <x:v>2025-02-06</x:v>
      </x:c>
      <x:c r="D87" s="23" t="n">
        <x:v>148</x:v>
      </x:c>
      <x:c r="E87" s="23" t="str">
        <x:v>cognitive-gnosticism
christ-as-an-inner-model
religion-for-conscious-robots
divine-will-and-self-authorizing-power
scripture-power-and-repair
god-and-our-models-of-god
inner-formation-texts-and-material-witnesses</x:v>
      </x:c>
      <x:c r="F87" s="23" t="n">
        <x:f>IF(E87="",0,LEN(E87)-LEN(SUBSTITUTE(E87,CHAR(10),""))+1)</x:f>
        <x:v>7</x:v>
      </x:c>
      <x:c r="G87" s="23" t="str">
        <x:v>Turn 23</x:v>
      </x:c>
      <x:c r="H87" s="23" t="n">
        <x:f>IF(G87="",0,LEN(G87&amp;"")-LEN(SUBSTITUTE(G87&amp;"",CHAR(10),""))+1)</x:f>
        <x:v>1</x:v>
      </x:c>
      <x:c r="I87" s="23" t="str">
        <x:v>images
gnosis
inner-model
scriptural-axis
will
repair-practice
next-inheritors</x:v>
      </x:c>
      <x:c r="J87" s="23" t="str">
        <x:v>Linked to developed article</x:v>
      </x:c>
      <x:c r="K87" s="23" t="str">
        <x:v>Not inferred</x:v>
      </x:c>
      <x:c r="L87" s="34" t="str">
        <x:v>b04766b12735df1f065652e96f32f43719cb93bf256435cd653affbff49189a0</x:v>
      </x:c>
      <x:c r="M87" s="32" t="n">
        <x:v>275290</x:v>
      </x:c>
      <x:c r="N87" s="23" t="str">
        <x:v>https://v5ma.github.io/theology-wiki/san-reader.html?page=cognitive-gnosticism-jesus-vs-gnostic-jesus</x:v>
      </x:c>
    </x:row>
    <x:row r="88" ht="56" customHeight="1">
      <x:c r="A88" s="23" t="str">
        <x:v>Conceptual equivalences mapping</x:v>
      </x:c>
      <x:c r="B88" s="23" t="str">
        <x:v>gpt2026dragon2438_Conceptual_equivalences_mapping.txt</x:v>
      </x:c>
      <x:c r="C88" s="23" t="str">
        <x:v>2025-09-22</x:v>
      </x:c>
      <x:c r="D88" s="23" t="n">
        <x:v>35</x:v>
      </x:c>
      <x:c r="E88" s="23" t="str"/>
      <x:c r="F88" s="23" t="n">
        <x:f>IF(E88="",0,LEN(E88)-LEN(SUBSTITUTE(E88,CHAR(10),""))+1)</x:f>
        <x:v>0</x:v>
      </x:c>
      <x:c r="G88" s="23" t="str"/>
      <x:c r="H88" s="23" t="n">
        <x:f>IF(G88="",0,LEN(G88&amp;"")-LEN(SUBSTITUTE(G88&amp;"",CHAR(10),""))+1)</x:f>
        <x:v>0</x:v>
      </x:c>
      <x:c r="I88" s="23" t="str"/>
      <x:c r="J88" s="23" t="str">
        <x:v>No developed-article link recorded</x:v>
      </x:c>
      <x:c r="K88" s="23" t="str">
        <x:v>Not inferred</x:v>
      </x:c>
      <x:c r="L88" s="34" t="str">
        <x:v>a278c755fa56d774df7d236106d4d5d3e5ff689dac597e3e1794663ec8a6e0df</x:v>
      </x:c>
      <x:c r="M88" s="32" t="n">
        <x:v>593604</x:v>
      </x:c>
      <x:c r="N88" s="23" t="str">
        <x:v>https://v5ma.github.io/theology-wiki/san-reader.html?page=conceptual-equivalences-mapping</x:v>
      </x:c>
    </x:row>
    <x:row r="89" ht="56" customHeight="1">
      <x:c r="A89" s="23" t="str">
        <x:v>Consciousness and Existence Views</x:v>
      </x:c>
      <x:c r="B89" s="23" t="str">
        <x:v>gpt2026dragon581_Consciousness_and_Existence_Views.txt</x:v>
      </x:c>
      <x:c r="C89" s="23" t="str">
        <x:v>2024-12-26</x:v>
      </x:c>
      <x:c r="D89" s="23" t="n">
        <x:v>5</x:v>
      </x:c>
      <x:c r="E89" s="23" t="str"/>
      <x:c r="F89" s="23" t="n">
        <x:f>IF(E89="",0,LEN(E89)-LEN(SUBSTITUTE(E89,CHAR(10),""))+1)</x:f>
        <x:v>0</x:v>
      </x:c>
      <x:c r="G89" s="23" t="str"/>
      <x:c r="H89" s="23" t="n">
        <x:f>IF(G89="",0,LEN(G89&amp;"")-LEN(SUBSTITUTE(G89&amp;"",CHAR(10),""))+1)</x:f>
        <x:v>0</x:v>
      </x:c>
      <x:c r="I89" s="23" t="str"/>
      <x:c r="J89" s="23" t="str">
        <x:v>No developed-article link recorded</x:v>
      </x:c>
      <x:c r="K89" s="23" t="str">
        <x:v>Not inferred</x:v>
      </x:c>
      <x:c r="L89" s="34" t="str">
        <x:v>01c19cf08aeffaad1738079152117e39a9161801e3e1d39fdf552470c621d845</x:v>
      </x:c>
      <x:c r="M89" s="32" t="n">
        <x:v>18154</x:v>
      </x:c>
      <x:c r="N89" s="23" t="str">
        <x:v>https://v5ma.github.io/theology-wiki/san-reader.html?page=consciousness-and-existence-views</x:v>
      </x:c>
    </x:row>
    <x:row r="90" ht="56" customHeight="1">
      <x:c r="A90" s="23" t="str">
        <x:v>Covenant confirmation in Israel</x:v>
      </x:c>
      <x:c r="B90" s="23" t="str">
        <x:v>gpt2026dragon2670_Covenant_confirmation_in_Israel.txt</x:v>
      </x:c>
      <x:c r="C90" s="23" t="str">
        <x:v>2025-10-21</x:v>
      </x:c>
      <x:c r="D90" s="23" t="n">
        <x:v>4</x:v>
      </x:c>
      <x:c r="E90" s="23" t="str"/>
      <x:c r="F90" s="23" t="n">
        <x:f>IF(E90="",0,LEN(E90)-LEN(SUBSTITUTE(E90,CHAR(10),""))+1)</x:f>
        <x:v>0</x:v>
      </x:c>
      <x:c r="G90" s="23" t="str"/>
      <x:c r="H90" s="23" t="n">
        <x:f>IF(G90="",0,LEN(G90&amp;"")-LEN(SUBSTITUTE(G90&amp;"",CHAR(10),""))+1)</x:f>
        <x:v>0</x:v>
      </x:c>
      <x:c r="I90" s="23" t="str"/>
      <x:c r="J90" s="23" t="str">
        <x:v>No developed-article link recorded</x:v>
      </x:c>
      <x:c r="K90" s="23" t="str">
        <x:v>Not inferred</x:v>
      </x:c>
      <x:c r="L90" s="34" t="str">
        <x:v>06b33a29d878b274c0be23b8a0cf737727e763f107372e0acc7f3922b5d56b4d</x:v>
      </x:c>
      <x:c r="M90" s="32" t="n">
        <x:v>3288</x:v>
      </x:c>
      <x:c r="N90" s="23" t="str">
        <x:v>https://v5ma.github.io/theology-wiki/san-reader.html?page=covenant-confirmation-in-israel</x:v>
      </x:c>
    </x:row>
    <x:row r="91" ht="56" customHeight="1">
      <x:c r="A91" s="23" t="str">
        <x:v>Crucifixion under Pilate</x:v>
      </x:c>
      <x:c r="B91" s="23" t="str">
        <x:v>gpt2026dragon2657_Crucifixion_under_Pilate.txt</x:v>
      </x:c>
      <x:c r="C91" s="23" t="str">
        <x:v>2025-10-20</x:v>
      </x:c>
      <x:c r="D91" s="23" t="n">
        <x:v>10</x:v>
      </x:c>
      <x:c r="E91" s="23" t="str"/>
      <x:c r="F91" s="23" t="n">
        <x:f>IF(E91="",0,LEN(E91)-LEN(SUBSTITUTE(E91,CHAR(10),""))+1)</x:f>
        <x:v>0</x:v>
      </x:c>
      <x:c r="G91" s="23" t="str"/>
      <x:c r="H91" s="23" t="n">
        <x:f>IF(G91="",0,LEN(G91&amp;"")-LEN(SUBSTITUTE(G91&amp;"",CHAR(10),""))+1)</x:f>
        <x:v>0</x:v>
      </x:c>
      <x:c r="I91" s="23" t="str"/>
      <x:c r="J91" s="23" t="str">
        <x:v>No developed-article link recorded</x:v>
      </x:c>
      <x:c r="K91" s="23" t="str">
        <x:v>Not inferred</x:v>
      </x:c>
      <x:c r="L91" s="34" t="str">
        <x:v>2bc6e3a7c86366bbf84152b34b7dc5bb6f2108d3412636bee7371faa73a44a1f</x:v>
      </x:c>
      <x:c r="M91" s="32" t="n">
        <x:v>32742</x:v>
      </x:c>
      <x:c r="N91" s="23" t="str">
        <x:v>https://v5ma.github.io/theology-wiki/san-reader.html?page=crucifixion-under-pilate</x:v>
      </x:c>
    </x:row>
    <x:row r="92" ht="56" customHeight="1">
      <x:c r="A92" s="23" t="str">
        <x:v>Dan Response Inquiry</x:v>
      </x:c>
      <x:c r="B92" s="23" t="str">
        <x:v>gpt2026dragon1738_Dan_Response_Inquiry.txt</x:v>
      </x:c>
      <x:c r="C92" s="23" t="str">
        <x:v>2025-06-22</x:v>
      </x:c>
      <x:c r="D92" s="23" t="n">
        <x:v>2</x:v>
      </x:c>
      <x:c r="E92" s="23" t="str"/>
      <x:c r="F92" s="23" t="n">
        <x:f>IF(E92="",0,LEN(E92)-LEN(SUBSTITUTE(E92,CHAR(10),""))+1)</x:f>
        <x:v>0</x:v>
      </x:c>
      <x:c r="G92" s="23" t="str"/>
      <x:c r="H92" s="23" t="n">
        <x:f>IF(G92="",0,LEN(G92&amp;"")-LEN(SUBSTITUTE(G92&amp;"",CHAR(10),""))+1)</x:f>
        <x:v>0</x:v>
      </x:c>
      <x:c r="I92" s="23" t="str"/>
      <x:c r="J92" s="23" t="str">
        <x:v>No developed-article link recorded</x:v>
      </x:c>
      <x:c r="K92" s="23" t="str">
        <x:v>Not inferred</x:v>
      </x:c>
      <x:c r="L92" s="34" t="str">
        <x:v>dc979526929eef4b0cb7291303dccceed9e349d2fb22ea13a12e0862268c5b09</x:v>
      </x:c>
      <x:c r="M92" s="32" t="n">
        <x:v>1535</x:v>
      </x:c>
      <x:c r="N92" s="23" t="str">
        <x:v>https://v5ma.github.io/theology-wiki/san-reader.html?page=dan-response-inquiry</x:v>
      </x:c>
    </x:row>
    <x:row r="93" ht="205" customHeight="1">
      <x:c r="A93" s="23" t="str">
        <x:v>Daniel and Teacher of Righteousness</x:v>
      </x:c>
      <x:c r="B93" s="23" t="str">
        <x:v>gpt2026dragon2651_Daniel_and_Teacher_of_Righteousness.txt</x:v>
      </x:c>
      <x:c r="C93" s="23" t="str">
        <x:v>2025-10-19</x:v>
      </x:c>
      <x:c r="D93" s="23" t="n">
        <x:v>58</x:v>
      </x:c>
      <x:c r="E93" s="23" t="str">
        <x:v>jesus-teacher-of-righteousness-hypothesis
tor-thomas-and-gnostic-transmission
exodus-to-temple-competing-chronologies
daniel-jubilee-and-the-teachers-time</x:v>
      </x:c>
      <x:c r="F93" s="23" t="n">
        <x:f>IF(E93="",0,LEN(E93)-LEN(SUBSTITUTE(E93,CHAR(10),""))+1)</x:f>
        <x:v>4</x:v>
      </x:c>
      <x:c r="G93" s="23" t="str"/>
      <x:c r="H93" s="23" t="n">
        <x:f>IF(G93="",0,LEN(G93&amp;"")-LEN(SUBSTITUTE(G93&amp;"",CHAR(10),""))+1)</x:f>
        <x:v>0</x:v>
      </x:c>
      <x:c r="I93" s="23" t="str">
        <x:v>catastrophe-memory
teacher-identity
thomas</x:v>
      </x:c>
      <x:c r="J93" s="23" t="str">
        <x:v>Linked to developed article</x:v>
      </x:c>
      <x:c r="K93" s="23" t="str">
        <x:v>Not inferred</x:v>
      </x:c>
      <x:c r="L93" s="34" t="str">
        <x:v>11cd5f8b5e11d81369f6da562e3da29e1084f0f36f785fe299fc3f25b2901ad3</x:v>
      </x:c>
      <x:c r="M93" s="32" t="n">
        <x:v>122485</x:v>
      </x:c>
      <x:c r="N93" s="23" t="str">
        <x:v>https://v5ma.github.io/theology-wiki/san-reader.html?page=daniel-and-teacher-of-righteousness</x:v>
      </x:c>
    </x:row>
    <x:row r="94" ht="56" customHeight="1">
      <x:c r="A94" s="23" t="str">
        <x:v>Daniel Prophecy and Temple</x:v>
      </x:c>
      <x:c r="B94" s="23" t="str">
        <x:v>gpt2026dragon3039_Daniel_Prophecy_and_Temple.txt</x:v>
      </x:c>
      <x:c r="C94" s="23" t="str">
        <x:v>2026-01-27</x:v>
      </x:c>
      <x:c r="D94" s="23" t="n">
        <x:v>3</x:v>
      </x:c>
      <x:c r="E94" s="23" t="str"/>
      <x:c r="F94" s="23" t="n">
        <x:f>IF(E94="",0,LEN(E94)-LEN(SUBSTITUTE(E94,CHAR(10),""))+1)</x:f>
        <x:v>0</x:v>
      </x:c>
      <x:c r="G94" s="23" t="str"/>
      <x:c r="H94" s="23" t="n">
        <x:f>IF(G94="",0,LEN(G94&amp;"")-LEN(SUBSTITUTE(G94&amp;"",CHAR(10),""))+1)</x:f>
        <x:v>0</x:v>
      </x:c>
      <x:c r="I94" s="23" t="str"/>
      <x:c r="J94" s="23" t="str">
        <x:v>No developed-article link recorded</x:v>
      </x:c>
      <x:c r="K94" s="23" t="str">
        <x:v>Not inferred</x:v>
      </x:c>
      <x:c r="L94" s="34" t="str">
        <x:v>5a1d9426036161e8cb2a2851ea4248120fcdf895586779180846e795776b0ebf</x:v>
      </x:c>
      <x:c r="M94" s="32" t="n">
        <x:v>8165</x:v>
      </x:c>
      <x:c r="N94" s="23" t="str">
        <x:v>https://v5ma.github.io/theology-wiki/san-reader.html?page=daniel-prophecy-and-temple</x:v>
      </x:c>
    </x:row>
    <x:row r="95" ht="56" customHeight="1">
      <x:c r="A95" s="23" t="str">
        <x:v>Dark Time Thermodynamics Theory</x:v>
      </x:c>
      <x:c r="B95" s="23" t="str">
        <x:v>gpt2026dragon680_Dark_Time_Thermodynamics_Theory.txt</x:v>
      </x:c>
      <x:c r="C95" s="23" t="str">
        <x:v>2025-01-21</x:v>
      </x:c>
      <x:c r="D95" s="23" t="n">
        <x:v>21</x:v>
      </x:c>
      <x:c r="E95" s="23" t="str"/>
      <x:c r="F95" s="23" t="n">
        <x:f>IF(E95="",0,LEN(E95)-LEN(SUBSTITUTE(E95,CHAR(10),""))+1)</x:f>
        <x:v>0</x:v>
      </x:c>
      <x:c r="G95" s="23" t="str"/>
      <x:c r="H95" s="23" t="n">
        <x:f>IF(G95="",0,LEN(G95&amp;"")-LEN(SUBSTITUTE(G95&amp;"",CHAR(10),""))+1)</x:f>
        <x:v>0</x:v>
      </x:c>
      <x:c r="I95" s="23" t="str"/>
      <x:c r="J95" s="23" t="str">
        <x:v>No developed-article link recorded</x:v>
      </x:c>
      <x:c r="K95" s="23" t="str">
        <x:v>Not inferred</x:v>
      </x:c>
      <x:c r="L95" s="34" t="str">
        <x:v>33c8a53511509454154442248a77724d0d9cc53cd0e7c1efa7c248f5acda899f</x:v>
      </x:c>
      <x:c r="M95" s="32" t="n">
        <x:v>285714</x:v>
      </x:c>
      <x:c r="N95" s="23" t="str">
        <x:v>https://v5ma.github.io/theology-wiki/san-reader.html?page=dark-time-thermodynamics-theory</x:v>
      </x:c>
    </x:row>
    <x:row r="96" ht="56" customHeight="1">
      <x:c r="A96" s="23" t="str">
        <x:v>Debunking Aaron Abke</x:v>
      </x:c>
      <x:c r="B96" s="23" t="str">
        <x:v>gpt2026dragon1515_Debunking_Aaron_Abke.txt</x:v>
      </x:c>
      <x:c r="C96" s="23" t="str">
        <x:v>2025-05-18</x:v>
      </x:c>
      <x:c r="D96" s="23" t="n">
        <x:v>6</x:v>
      </x:c>
      <x:c r="E96" s="23" t="str"/>
      <x:c r="F96" s="23" t="n">
        <x:f>IF(E96="",0,LEN(E96)-LEN(SUBSTITUTE(E96,CHAR(10),""))+1)</x:f>
        <x:v>0</x:v>
      </x:c>
      <x:c r="G96" s="23" t="str"/>
      <x:c r="H96" s="23" t="n">
        <x:f>IF(G96="",0,LEN(G96&amp;"")-LEN(SUBSTITUTE(G96&amp;"",CHAR(10),""))+1)</x:f>
        <x:v>0</x:v>
      </x:c>
      <x:c r="I96" s="23" t="str"/>
      <x:c r="J96" s="23" t="str">
        <x:v>No developed-article link recorded</x:v>
      </x:c>
      <x:c r="K96" s="23" t="str">
        <x:v>Not inferred</x:v>
      </x:c>
      <x:c r="L96" s="34" t="str">
        <x:v>e27cc66b2d94145032f6ea1a497bd405a609edfd5015c63b1f64b8e2d2aafcce</x:v>
      </x:c>
      <x:c r="M96" s="32" t="n">
        <x:v>10130</x:v>
      </x:c>
      <x:c r="N96" s="23" t="str">
        <x:v>https://v5ma.github.io/theology-wiki/san-reader.html?page=debunking-aaron-abke</x:v>
      </x:c>
    </x:row>
    <x:row r="97" ht="56" customHeight="1">
      <x:c r="A97" s="23" t="str">
        <x:v>Debunking Greek Bible Myth</x:v>
      </x:c>
      <x:c r="B97" s="23" t="str">
        <x:v>gpt2026dragon1431_Debunking_Greek_Bible_Myth.txt</x:v>
      </x:c>
      <x:c r="C97" s="23" t="str">
        <x:v>2025-05-05</x:v>
      </x:c>
      <x:c r="D97" s="23" t="n">
        <x:v>1</x:v>
      </x:c>
      <x:c r="E97" s="23" t="str"/>
      <x:c r="F97" s="23" t="n">
        <x:f>IF(E97="",0,LEN(E97)-LEN(SUBSTITUTE(E97,CHAR(10),""))+1)</x:f>
        <x:v>0</x:v>
      </x:c>
      <x:c r="G97" s="23" t="str"/>
      <x:c r="H97" s="23" t="n">
        <x:f>IF(G97="",0,LEN(G97&amp;"")-LEN(SUBSTITUTE(G97&amp;"",CHAR(10),""))+1)</x:f>
        <x:v>0</x:v>
      </x:c>
      <x:c r="I97" s="23" t="str"/>
      <x:c r="J97" s="23" t="str">
        <x:v>No developed-article link recorded</x:v>
      </x:c>
      <x:c r="K97" s="23" t="str">
        <x:v>Not inferred</x:v>
      </x:c>
      <x:c r="L97" s="34" t="str">
        <x:v>f5ced8177c8a370664368bd31f184e5488b2bc3fe4af44a41b4bab2b53dd2524</x:v>
      </x:c>
      <x:c r="M97" s="32" t="n">
        <x:v>2914</x:v>
      </x:c>
      <x:c r="N97" s="23" t="str">
        <x:v>https://v5ma.github.io/theology-wiki/san-reader.html?page=debunking-greek-bible-myth</x:v>
      </x:c>
    </x:row>
    <x:row r="98" ht="56" customHeight="1">
      <x:c r="A98" s="23" t="str">
        <x:v>Debunking Jewish Law Origin</x:v>
      </x:c>
      <x:c r="B98" s="23" t="str">
        <x:v>gpt2026dragon1432_Debunking_Jewish_Law_Origin.txt</x:v>
      </x:c>
      <x:c r="C98" s="23" t="str">
        <x:v>2025-05-05</x:v>
      </x:c>
      <x:c r="D98" s="23" t="n">
        <x:v>1</x:v>
      </x:c>
      <x:c r="E98" s="23" t="str"/>
      <x:c r="F98" s="23" t="n">
        <x:f>IF(E98="",0,LEN(E98)-LEN(SUBSTITUTE(E98,CHAR(10),""))+1)</x:f>
        <x:v>0</x:v>
      </x:c>
      <x:c r="G98" s="23" t="str"/>
      <x:c r="H98" s="23" t="n">
        <x:f>IF(G98="",0,LEN(G98&amp;"")-LEN(SUBSTITUTE(G98&amp;"",CHAR(10),""))+1)</x:f>
        <x:v>0</x:v>
      </x:c>
      <x:c r="I98" s="23" t="str"/>
      <x:c r="J98" s="23" t="str">
        <x:v>No developed-article link recorded</x:v>
      </x:c>
      <x:c r="K98" s="23" t="str">
        <x:v>Not inferred</x:v>
      </x:c>
      <x:c r="L98" s="34" t="str">
        <x:v>6c0ba8048036e32d3822d86e333eb700fe04e4b43a8771d00d1bb0a1d66fc65c</x:v>
      </x:c>
      <x:c r="M98" s="32" t="n">
        <x:v>2272</x:v>
      </x:c>
      <x:c r="N98" s="23" t="str">
        <x:v>https://v5ma.github.io/theology-wiki/san-reader.html?page=debunking-jewish-law-origin</x:v>
      </x:c>
    </x:row>
    <x:row r="99" ht="56" customHeight="1">
      <x:c r="A99" s="23" t="str">
        <x:v>Deliberate joy concept</x:v>
      </x:c>
      <x:c r="B99" s="23" t="str">
        <x:v>gpt2026dragon2693_Deliberate_joy_concept.txt</x:v>
      </x:c>
      <x:c r="C99" s="23" t="str">
        <x:v>2025-10-27</x:v>
      </x:c>
      <x:c r="D99" s="23" t="n">
        <x:v>5</x:v>
      </x:c>
      <x:c r="E99" s="23" t="str">
        <x:v>faith-as-deliberate-joy</x:v>
      </x:c>
      <x:c r="F99" s="23" t="n">
        <x:f>IF(E99="",0,LEN(E99)-LEN(SUBSTITUTE(E99,CHAR(10),""))+1)</x:f>
        <x:v>1</x:v>
      </x:c>
      <x:c r="G99" s="23" t="str"/>
      <x:c r="H99" s="23" t="n">
        <x:f>IF(G99="",0,LEN(G99&amp;"")-LEN(SUBSTITUTE(G99&amp;"",CHAR(10),""))+1)</x:f>
        <x:v>0</x:v>
      </x:c>
      <x:c r="I99" s="23" t="str">
        <x:v>faith</x:v>
      </x:c>
      <x:c r="J99" s="23" t="str">
        <x:v>Linked to developed article</x:v>
      </x:c>
      <x:c r="K99" s="23" t="str">
        <x:v>Not inferred</x:v>
      </x:c>
      <x:c r="L99" s="34" t="str">
        <x:v>f7dd7d5d044ca60d6d438e691ba7fadb2c7f40af2e2384a63bce4c3a4ab86702</x:v>
      </x:c>
      <x:c r="M99" s="32" t="n">
        <x:v>15222</x:v>
      </x:c>
      <x:c r="N99" s="23" t="str">
        <x:v>https://v5ma.github.io/theology-wiki/san-reader.html?page=deliberate-joy-concept</x:v>
      </x:c>
    </x:row>
    <x:row r="100" ht="56" customHeight="1">
      <x:c r="A100" s="23" t="str">
        <x:v>Deterministic Quantum Cycles</x:v>
      </x:c>
      <x:c r="B100" s="23" t="str">
        <x:v>gpt2026dragon664_Deterministic_Quantum_Cycles.txt</x:v>
      </x:c>
      <x:c r="C100" s="23" t="str">
        <x:v>2025-01-16</x:v>
      </x:c>
      <x:c r="D100" s="23" t="n">
        <x:v>40</x:v>
      </x:c>
      <x:c r="E100" s="23" t="str"/>
      <x:c r="F100" s="23" t="n">
        <x:f>IF(E100="",0,LEN(E100)-LEN(SUBSTITUTE(E100,CHAR(10),""))+1)</x:f>
        <x:v>0</x:v>
      </x:c>
      <x:c r="G100" s="23" t="str"/>
      <x:c r="H100" s="23" t="n">
        <x:f>IF(G100="",0,LEN(G100&amp;"")-LEN(SUBSTITUTE(G100&amp;"",CHAR(10),""))+1)</x:f>
        <x:v>0</x:v>
      </x:c>
      <x:c r="I100" s="23" t="str"/>
      <x:c r="J100" s="23" t="str">
        <x:v>No developed-article link recorded</x:v>
      </x:c>
      <x:c r="K100" s="23" t="str">
        <x:v>Not inferred</x:v>
      </x:c>
      <x:c r="L100" s="34" t="str">
        <x:v>063b629ad342e6091582ec6e399b01e6a95b0e72ec08af71822f189283c2af40</x:v>
      </x:c>
      <x:c r="M100" s="32" t="n">
        <x:v>95540</x:v>
      </x:c>
      <x:c r="N100" s="23" t="str">
        <x:v>https://v5ma.github.io/theology-wiki/san-reader.html?page=deterministic-quantum-cycles</x:v>
      </x:c>
    </x:row>
    <x:row r="101" ht="56" customHeight="1">
      <x:c r="A101" s="23" t="str">
        <x:v>Dimensional Resonance vs IIT</x:v>
      </x:c>
      <x:c r="B101" s="23" t="str">
        <x:v>gpt2026dragon1713_Dimensional_Resonance_vs_IIT.txt</x:v>
      </x:c>
      <x:c r="C101" s="23" t="str">
        <x:v>2025-06-19</x:v>
      </x:c>
      <x:c r="D101" s="23" t="n">
        <x:v>36</x:v>
      </x:c>
      <x:c r="E101" s="23" t="str"/>
      <x:c r="F101" s="23" t="n">
        <x:f>IF(E101="",0,LEN(E101)-LEN(SUBSTITUTE(E101,CHAR(10),""))+1)</x:f>
        <x:v>0</x:v>
      </x:c>
      <x:c r="G101" s="23" t="str"/>
      <x:c r="H101" s="23" t="n">
        <x:f>IF(G101="",0,LEN(G101&amp;"")-LEN(SUBSTITUTE(G101&amp;"",CHAR(10),""))+1)</x:f>
        <x:v>0</x:v>
      </x:c>
      <x:c r="I101" s="23" t="str"/>
      <x:c r="J101" s="23" t="str">
        <x:v>No developed-article link recorded</x:v>
      </x:c>
      <x:c r="K101" s="23" t="str">
        <x:v>Not inferred</x:v>
      </x:c>
      <x:c r="L101" s="34" t="str">
        <x:v>5c24c9dc972e74095bcee9580fc7fca966ad2f332241e0df88ebfbeabdf76857</x:v>
      </x:c>
      <x:c r="M101" s="32" t="n">
        <x:v>152601</x:v>
      </x:c>
      <x:c r="N101" s="23" t="str">
        <x:v>https://v5ma.github.io/theology-wiki/san-reader.html?page=dimensional-resonance-vs-iit</x:v>
      </x:c>
    </x:row>
    <x:row r="102" ht="56" customHeight="1">
      <x:c r="A102" s="23" t="str">
        <x:v>Dina's Jewish Identity in TLOU</x:v>
      </x:c>
      <x:c r="B102" s="23" t="str">
        <x:v>gpt2026dragon1534_Dina_s_Jewish_Identity_in_TLOU.txt</x:v>
      </x:c>
      <x:c r="C102" s="23" t="str">
        <x:v>2025-05-21</x:v>
      </x:c>
      <x:c r="D102" s="23" t="n">
        <x:v>7</x:v>
      </x:c>
      <x:c r="E102" s="23" t="str"/>
      <x:c r="F102" s="23" t="n">
        <x:f>IF(E102="",0,LEN(E102)-LEN(SUBSTITUTE(E102,CHAR(10),""))+1)</x:f>
        <x:v>0</x:v>
      </x:c>
      <x:c r="G102" s="23" t="str"/>
      <x:c r="H102" s="23" t="n">
        <x:f>IF(G102="",0,LEN(G102&amp;"")-LEN(SUBSTITUTE(G102&amp;"",CHAR(10),""))+1)</x:f>
        <x:v>0</x:v>
      </x:c>
      <x:c r="I102" s="23" t="str"/>
      <x:c r="J102" s="23" t="str">
        <x:v>No developed-article link recorded</x:v>
      </x:c>
      <x:c r="K102" s="23" t="str">
        <x:v>Not inferred</x:v>
      </x:c>
      <x:c r="L102" s="34" t="str">
        <x:v>eebc589b98c85134108154cc41c99ec3b4a80c0429a20e5cecb0398474717fdf</x:v>
      </x:c>
      <x:c r="M102" s="32" t="n">
        <x:v>7388</x:v>
      </x:c>
      <x:c r="N102" s="23" t="str">
        <x:v>https://v5ma.github.io/theology-wiki/san-reader.html?page=dina-s-jewish-identity-in-tlou</x:v>
      </x:c>
    </x:row>
    <x:row r="103" ht="56" customHeight="1">
      <x:c r="A103" s="23" t="str">
        <x:v>Disrespectful religious statement</x:v>
      </x:c>
      <x:c r="B103" s="23" t="str">
        <x:v>gpt2026dragon1674_Disrespectful_religious_statement.txt</x:v>
      </x:c>
      <x:c r="C103" s="23" t="str">
        <x:v>2025-06-15</x:v>
      </x:c>
      <x:c r="D103" s="23" t="n">
        <x:v>11</x:v>
      </x:c>
      <x:c r="E103" s="23" t="str"/>
      <x:c r="F103" s="23" t="n">
        <x:f>IF(E103="",0,LEN(E103)-LEN(SUBSTITUTE(E103,CHAR(10),""))+1)</x:f>
        <x:v>0</x:v>
      </x:c>
      <x:c r="G103" s="23" t="str"/>
      <x:c r="H103" s="23" t="n">
        <x:f>IF(G103="",0,LEN(G103&amp;"")-LEN(SUBSTITUTE(G103&amp;"",CHAR(10),""))+1)</x:f>
        <x:v>0</x:v>
      </x:c>
      <x:c r="I103" s="23" t="str"/>
      <x:c r="J103" s="23" t="str">
        <x:v>No developed-article link recorded</x:v>
      </x:c>
      <x:c r="K103" s="23" t="str">
        <x:v>Not inferred</x:v>
      </x:c>
      <x:c r="L103" s="34" t="str">
        <x:v>5ff41ce9738fbb1ca8aad6a6d2bad7ed7ce2560a786ec5acc32cc066a72a506c</x:v>
      </x:c>
      <x:c r="M103" s="32" t="n">
        <x:v>22665</x:v>
      </x:c>
      <x:c r="N103" s="23" t="str">
        <x:v>https://v5ma.github.io/theology-wiki/san-reader.html?page=disrespectful-religious-statement</x:v>
      </x:c>
    </x:row>
    <x:row r="104" ht="56" customHeight="1">
      <x:c r="A104" s="23" t="str">
        <x:v>Divine Empowerment through Christ</x:v>
      </x:c>
      <x:c r="B104" s="23" t="str">
        <x:v>gpt2026dragon1075_Divine_Empowerment_through_Christ.txt</x:v>
      </x:c>
      <x:c r="C104" s="23" t="str">
        <x:v>2025-03-08</x:v>
      </x:c>
      <x:c r="D104" s="23" t="n">
        <x:v>13</x:v>
      </x:c>
      <x:c r="E104" s="23" t="str"/>
      <x:c r="F104" s="23" t="n">
        <x:f>IF(E104="",0,LEN(E104)-LEN(SUBSTITUTE(E104,CHAR(10),""))+1)</x:f>
        <x:v>0</x:v>
      </x:c>
      <x:c r="G104" s="23" t="str"/>
      <x:c r="H104" s="23" t="n">
        <x:f>IF(G104="",0,LEN(G104&amp;"")-LEN(SUBSTITUTE(G104&amp;"",CHAR(10),""))+1)</x:f>
        <x:v>0</x:v>
      </x:c>
      <x:c r="I104" s="23" t="str"/>
      <x:c r="J104" s="23" t="str">
        <x:v>No developed-article link recorded</x:v>
      </x:c>
      <x:c r="K104" s="23" t="str">
        <x:v>Not inferred</x:v>
      </x:c>
      <x:c r="L104" s="34" t="str">
        <x:v>77f243508128a0abfe3f668c681e9d50dd53b87ca4007aab4f7f55458403b865</x:v>
      </x:c>
      <x:c r="M104" s="32" t="n">
        <x:v>23830</x:v>
      </x:c>
      <x:c r="N104" s="23" t="str">
        <x:v>https://v5ma.github.io/theology-wiki/san-reader.html?page=divine-empowerment-through-christ</x:v>
      </x:c>
    </x:row>
    <x:row r="105" ht="56" customHeight="1">
      <x:c r="A105" s="23" t="str">
        <x:v>Document review</x:v>
      </x:c>
      <x:c r="B105" s="23" t="str">
        <x:v>gpt2026dragon2861_Document_review.txt</x:v>
      </x:c>
      <x:c r="C105" s="23" t="str">
        <x:v>2025-12-15</x:v>
      </x:c>
      <x:c r="D105" s="23" t="n">
        <x:v>3</x:v>
      </x:c>
      <x:c r="E105" s="23" t="str"/>
      <x:c r="F105" s="23" t="n">
        <x:f>IF(E105="",0,LEN(E105)-LEN(SUBSTITUTE(E105,CHAR(10),""))+1)</x:f>
        <x:v>0</x:v>
      </x:c>
      <x:c r="G105" s="23" t="str"/>
      <x:c r="H105" s="23" t="n">
        <x:f>IF(G105="",0,LEN(G105&amp;"")-LEN(SUBSTITUTE(G105&amp;"",CHAR(10),""))+1)</x:f>
        <x:v>0</x:v>
      </x:c>
      <x:c r="I105" s="23" t="str"/>
      <x:c r="J105" s="23" t="str">
        <x:v>No developed-article link recorded</x:v>
      </x:c>
      <x:c r="K105" s="23" t="str">
        <x:v>Not inferred</x:v>
      </x:c>
      <x:c r="L105" s="34" t="str">
        <x:v>01906956844bb59477b0030953f651ec9ec803c02ad589c9dadecce5107f878d</x:v>
      </x:c>
      <x:c r="M105" s="32" t="n">
        <x:v>6849</x:v>
      </x:c>
      <x:c r="N105" s="23" t="str">
        <x:v>https://v5ma.github.io/theology-wiki/san-reader.html?page=document-review</x:v>
      </x:c>
    </x:row>
    <x:row r="106" ht="56" customHeight="1">
      <x:c r="A106" s="23" t="str">
        <x:v>Early vs Later Gnosticism</x:v>
      </x:c>
      <x:c r="B106" s="23" t="str">
        <x:v>gpt2026dragon1905_Early_vs_Later_Gnosticism.txt</x:v>
      </x:c>
      <x:c r="C106" s="23" t="str">
        <x:v>2025-07-15</x:v>
      </x:c>
      <x:c r="D106" s="23" t="n">
        <x:v>56</x:v>
      </x:c>
      <x:c r="E106" s="23" t="str">
        <x:v>apocalyptic-repair-theology
antichrist-as-a-pattern-of-conduct
gnosticism-and-temple-trauma</x:v>
      </x:c>
      <x:c r="F106" s="23" t="n">
        <x:f>IF(E106="",0,LEN(E106)-LEN(SUBSTITUTE(E106,CHAR(10),""))+1)</x:f>
        <x:v>3</x:v>
      </x:c>
      <x:c r="G106" s="23" t="str">
        <x:v>Turn 44
Turn 46</x:v>
      </x:c>
      <x:c r="H106" s="23" t="n">
        <x:f>IF(G106="",0,LEN(G106&amp;"")-LEN(SUBSTITUTE(G106&amp;"",CHAR(10),""))+1)</x:f>
        <x:v>2</x:v>
      </x:c>
      <x:c r="I106" s="23" t="str">
        <x:v>trauma
will
repair-practice
continuing</x:v>
      </x:c>
      <x:c r="J106" s="23" t="str">
        <x:v>Linked to developed article</x:v>
      </x:c>
      <x:c r="K106" s="23" t="str">
        <x:v>Not inferred</x:v>
      </x:c>
      <x:c r="L106" s="34" t="str">
        <x:v>72cb9369c12ad2ab4acaa04e9d3c30e5984ae79fb1d84c4b8d6fd61bfa7ab7dc</x:v>
      </x:c>
      <x:c r="M106" s="32" t="n">
        <x:v>132855</x:v>
      </x:c>
      <x:c r="N106" s="23" t="str">
        <x:v>https://v5ma.github.io/theology-wiki/san-reader.html?page=early-vs-later-gnosticism</x:v>
      </x:c>
    </x:row>
    <x:row r="107" ht="56" customHeight="1">
      <x:c r="A107" s="23" t="str">
        <x:v>Ehrman vs Tabor Debate</x:v>
      </x:c>
      <x:c r="B107" s="23" t="str">
        <x:v>gpt2026dragon1995_Ehrman_vs_Tabor_Debate.txt</x:v>
      </x:c>
      <x:c r="C107" s="23" t="str">
        <x:v>2025-07-30</x:v>
      </x:c>
      <x:c r="D107" s="23" t="n">
        <x:v>8</x:v>
      </x:c>
      <x:c r="E107" s="23" t="str"/>
      <x:c r="F107" s="23" t="n">
        <x:f>IF(E107="",0,LEN(E107)-LEN(SUBSTITUTE(E107,CHAR(10),""))+1)</x:f>
        <x:v>0</x:v>
      </x:c>
      <x:c r="G107" s="23" t="str"/>
      <x:c r="H107" s="23" t="n">
        <x:f>IF(G107="",0,LEN(G107&amp;"")-LEN(SUBSTITUTE(G107&amp;"",CHAR(10),""))+1)</x:f>
        <x:v>0</x:v>
      </x:c>
      <x:c r="I107" s="23" t="str"/>
      <x:c r="J107" s="23" t="str">
        <x:v>No developed-article link recorded</x:v>
      </x:c>
      <x:c r="K107" s="23" t="str">
        <x:v>Not inferred</x:v>
      </x:c>
      <x:c r="L107" s="34" t="str">
        <x:v>65696b17d09577bb0186dc264060f52a85065756429863baca9fa94d8fb79f1f</x:v>
      </x:c>
      <x:c r="M107" s="32" t="n">
        <x:v>17429</x:v>
      </x:c>
      <x:c r="N107" s="23" t="str">
        <x:v>https://v5ma.github.io/theology-wiki/san-reader.html?page=ehrman-vs-tabor-debate</x:v>
      </x:c>
    </x:row>
    <x:row r="108" ht="56" customHeight="1">
      <x:c r="A108" s="23" t="str">
        <x:v>Elohim and Alien Theories</x:v>
      </x:c>
      <x:c r="B108" s="23" t="str">
        <x:v>gpt2026dragon618_Elohim_and_Alien_Theories.txt</x:v>
      </x:c>
      <x:c r="C108" s="23" t="str">
        <x:v>2025-01-02</x:v>
      </x:c>
      <x:c r="D108" s="23" t="n">
        <x:v>7</x:v>
      </x:c>
      <x:c r="E108" s="23" t="str"/>
      <x:c r="F108" s="23" t="n">
        <x:f>IF(E108="",0,LEN(E108)-LEN(SUBSTITUTE(E108,CHAR(10),""))+1)</x:f>
        <x:v>0</x:v>
      </x:c>
      <x:c r="G108" s="23" t="str"/>
      <x:c r="H108" s="23" t="n">
        <x:f>IF(G108="",0,LEN(G108&amp;"")-LEN(SUBSTITUTE(G108&amp;"",CHAR(10),""))+1)</x:f>
        <x:v>0</x:v>
      </x:c>
      <x:c r="I108" s="23" t="str"/>
      <x:c r="J108" s="23" t="str">
        <x:v>No developed-article link recorded</x:v>
      </x:c>
      <x:c r="K108" s="23" t="str">
        <x:v>Not inferred</x:v>
      </x:c>
      <x:c r="L108" s="34" t="str">
        <x:v>2b4f0f3bd7352932e9f6e4b0553d1451cf88dbc9e585b09dfe9e37eb2678f9e6</x:v>
      </x:c>
      <x:c r="M108" s="32" t="n">
        <x:v>19254</x:v>
      </x:c>
      <x:c r="N108" s="23" t="str">
        <x:v>https://v5ma.github.io/theology-wiki/san-reader.html?page=elohim-and-alien-theories</x:v>
      </x:c>
    </x:row>
    <x:row r="109" ht="56" customHeight="1">
      <x:c r="A109" s="23" t="str">
        <x:v>Enoch Scroll and Gnosticism</x:v>
      </x:c>
      <x:c r="B109" s="23" t="str">
        <x:v>gpt2026dragon894_Enoch_Scroll_and_Gnosticism.txt</x:v>
      </x:c>
      <x:c r="C109" s="23" t="str">
        <x:v>2025-02-07</x:v>
      </x:c>
      <x:c r="D109" s="23" t="n">
        <x:v>27</x:v>
      </x:c>
      <x:c r="E109" s="23" t="str"/>
      <x:c r="F109" s="23" t="n">
        <x:f>IF(E109="",0,LEN(E109)-LEN(SUBSTITUTE(E109,CHAR(10),""))+1)</x:f>
        <x:v>0</x:v>
      </x:c>
      <x:c r="G109" s="23" t="str"/>
      <x:c r="H109" s="23" t="n">
        <x:f>IF(G109="",0,LEN(G109&amp;"")-LEN(SUBSTITUTE(G109&amp;"",CHAR(10),""))+1)</x:f>
        <x:v>0</x:v>
      </x:c>
      <x:c r="I109" s="23" t="str"/>
      <x:c r="J109" s="23" t="str">
        <x:v>No developed-article link recorded</x:v>
      </x:c>
      <x:c r="K109" s="23" t="str">
        <x:v>Not inferred</x:v>
      </x:c>
      <x:c r="L109" s="34" t="str">
        <x:v>536b116e5f47c105659d48092ca3d27d8e4d95eac520aade2da9db0ef74f5545</x:v>
      </x:c>
      <x:c r="M109" s="32" t="n">
        <x:v>53101</x:v>
      </x:c>
      <x:c r="N109" s="23" t="str">
        <x:v>https://v5ma.github.io/theology-wiki/san-reader.html?page=enoch-scroll-and-gnosticism</x:v>
      </x:c>
    </x:row>
    <x:row r="110" ht="56" customHeight="1">
      <x:c r="A110" s="23" t="str">
        <x:v>Enoch Son of Man</x:v>
      </x:c>
      <x:c r="B110" s="23" t="str">
        <x:v>gpt2026dragon2686_Enoch_Son_of_Man.txt</x:v>
      </x:c>
      <x:c r="C110" s="23" t="str">
        <x:v>2025-10-25</x:v>
      </x:c>
      <x:c r="D110" s="23" t="n">
        <x:v>7</x:v>
      </x:c>
      <x:c r="E110" s="23" t="str"/>
      <x:c r="F110" s="23" t="n">
        <x:f>IF(E110="",0,LEN(E110)-LEN(SUBSTITUTE(E110,CHAR(10),""))+1)</x:f>
        <x:v>0</x:v>
      </x:c>
      <x:c r="G110" s="23" t="str"/>
      <x:c r="H110" s="23" t="n">
        <x:f>IF(G110="",0,LEN(G110&amp;"")-LEN(SUBSTITUTE(G110&amp;"",CHAR(10),""))+1)</x:f>
        <x:v>0</x:v>
      </x:c>
      <x:c r="I110" s="23" t="str"/>
      <x:c r="J110" s="23" t="str">
        <x:v>No developed-article link recorded</x:v>
      </x:c>
      <x:c r="K110" s="23" t="str">
        <x:v>Not inferred</x:v>
      </x:c>
      <x:c r="L110" s="34" t="str">
        <x:v>a4d896126c95b4d99558171b63a28fe01c2f6d704fb50848cb1dfc4ef12293b1</x:v>
      </x:c>
      <x:c r="M110" s="32" t="n">
        <x:v>7906</x:v>
      </x:c>
      <x:c r="N110" s="23" t="str">
        <x:v>https://v5ma.github.io/theology-wiki/san-reader.html?page=enoch-son-of-man</x:v>
      </x:c>
    </x:row>
    <x:row r="111" ht="56" customHeight="1">
      <x:c r="A111" s="23" t="str">
        <x:v>Epstein's Web of Connections</x:v>
      </x:c>
      <x:c r="B111" s="23" t="str">
        <x:v>gpt2026dragon3075_Epstein_s_Web_of_Connections.txt</x:v>
      </x:c>
      <x:c r="C111" s="23" t="str">
        <x:v>2026-02-10</x:v>
      </x:c>
      <x:c r="D111" s="23" t="n">
        <x:v>4</x:v>
      </x:c>
      <x:c r="E111" s="23" t="str"/>
      <x:c r="F111" s="23" t="n">
        <x:f>IF(E111="",0,LEN(E111)-LEN(SUBSTITUTE(E111,CHAR(10),""))+1)</x:f>
        <x:v>0</x:v>
      </x:c>
      <x:c r="G111" s="23" t="str"/>
      <x:c r="H111" s="23" t="n">
        <x:f>IF(G111="",0,LEN(G111&amp;"")-LEN(SUBSTITUTE(G111&amp;"",CHAR(10),""))+1)</x:f>
        <x:v>0</x:v>
      </x:c>
      <x:c r="I111" s="23" t="str"/>
      <x:c r="J111" s="23" t="str">
        <x:v>No developed-article link recorded</x:v>
      </x:c>
      <x:c r="K111" s="23" t="str">
        <x:v>Not inferred</x:v>
      </x:c>
      <x:c r="L111" s="34" t="str">
        <x:v>de3ba75cc4e30f72d1e9400fd134d12137767ed12fc67e57b503c1da89aab19e</x:v>
      </x:c>
      <x:c r="M111" s="32" t="n">
        <x:v>11892</x:v>
      </x:c>
      <x:c r="N111" s="23" t="str">
        <x:v>https://v5ma.github.io/theology-wiki/san-reader.html?page=epstein-s-web-of-connections</x:v>
      </x:c>
    </x:row>
    <x:row r="112" ht="56" customHeight="1">
      <x:c r="A112" s="23" t="str">
        <x:v>Eschatology and Prophetic Timelines</x:v>
      </x:c>
      <x:c r="B112" s="23" t="str">
        <x:v>gpt2026dragon1922_Eschatology_and_Prophetic_Timelines.txt</x:v>
      </x:c>
      <x:c r="C112" s="23" t="str">
        <x:v>2025-07-19</x:v>
      </x:c>
      <x:c r="D112" s="23" t="n">
        <x:v>4</x:v>
      </x:c>
      <x:c r="E112" s="23" t="str"/>
      <x:c r="F112" s="23" t="n">
        <x:f>IF(E112="",0,LEN(E112)-LEN(SUBSTITUTE(E112,CHAR(10),""))+1)</x:f>
        <x:v>0</x:v>
      </x:c>
      <x:c r="G112" s="23" t="str"/>
      <x:c r="H112" s="23" t="n">
        <x:f>IF(G112="",0,LEN(G112&amp;"")-LEN(SUBSTITUTE(G112&amp;"",CHAR(10),""))+1)</x:f>
        <x:v>0</x:v>
      </x:c>
      <x:c r="I112" s="23" t="str"/>
      <x:c r="J112" s="23" t="str">
        <x:v>No developed-article link recorded</x:v>
      </x:c>
      <x:c r="K112" s="23" t="str">
        <x:v>Not inferred</x:v>
      </x:c>
      <x:c r="L112" s="34" t="str">
        <x:v>c63292f75a421d105f6cddb42e6445f335e0e76e2080ba04c08045c43bc83ddd</x:v>
      </x:c>
      <x:c r="M112" s="32" t="n">
        <x:v>6526</x:v>
      </x:c>
      <x:c r="N112" s="23" t="str">
        <x:v>https://v5ma.github.io/theology-wiki/san-reader.html?page=eschatology-and-prophetic-timelines</x:v>
      </x:c>
    </x:row>
    <x:row r="113" ht="56" customHeight="1">
      <x:c r="A113" s="23" t="str">
        <x:v>Essenes and Early Christianity</x:v>
      </x:c>
      <x:c r="B113" s="23" t="str">
        <x:v>gpt2026dragon1522_Essenes_and_Early_Christianity.txt</x:v>
      </x:c>
      <x:c r="C113" s="23" t="str">
        <x:v>2025-05-19</x:v>
      </x:c>
      <x:c r="D113" s="23" t="n">
        <x:v>62</x:v>
      </x:c>
      <x:c r="E113" s="23" t="str"/>
      <x:c r="F113" s="23" t="n">
        <x:f>IF(E113="",0,LEN(E113)-LEN(SUBSTITUTE(E113,CHAR(10),""))+1)</x:f>
        <x:v>0</x:v>
      </x:c>
      <x:c r="G113" s="23" t="str"/>
      <x:c r="H113" s="23" t="n">
        <x:f>IF(G113="",0,LEN(G113&amp;"")-LEN(SUBSTITUTE(G113&amp;"",CHAR(10),""))+1)</x:f>
        <x:v>0</x:v>
      </x:c>
      <x:c r="I113" s="23" t="str"/>
      <x:c r="J113" s="23" t="str">
        <x:v>No developed-article link recorded</x:v>
      </x:c>
      <x:c r="K113" s="23" t="str">
        <x:v>Not inferred</x:v>
      </x:c>
      <x:c r="L113" s="34" t="str">
        <x:v>6760298de6affc09769b6a48c6729caafd172e96479fb885c0c94948d3dd2aae</x:v>
      </x:c>
      <x:c r="M113" s="32" t="n">
        <x:v>129131</x:v>
      </x:c>
      <x:c r="N113" s="23" t="str">
        <x:v>https://v5ma.github.io/theology-wiki/san-reader.html?page=essenes-and-early-christianity</x:v>
      </x:c>
    </x:row>
    <x:row r="114" ht="56" customHeight="1">
      <x:c r="A114" s="23" t="str">
        <x:v>European gods origins</x:v>
      </x:c>
      <x:c r="B114" s="23" t="str">
        <x:v>gpt2026dragon2364_European_gods_origins.txt</x:v>
      </x:c>
      <x:c r="C114" s="23" t="str">
        <x:v>2025-09-12</x:v>
      </x:c>
      <x:c r="D114" s="23" t="n">
        <x:v>1</x:v>
      </x:c>
      <x:c r="E114" s="23" t="str"/>
      <x:c r="F114" s="23" t="n">
        <x:f>IF(E114="",0,LEN(E114)-LEN(SUBSTITUTE(E114,CHAR(10),""))+1)</x:f>
        <x:v>0</x:v>
      </x:c>
      <x:c r="G114" s="23" t="str"/>
      <x:c r="H114" s="23" t="n">
        <x:f>IF(G114="",0,LEN(G114&amp;"")-LEN(SUBSTITUTE(G114&amp;"",CHAR(10),""))+1)</x:f>
        <x:v>0</x:v>
      </x:c>
      <x:c r="I114" s="23" t="str"/>
      <x:c r="J114" s="23" t="str">
        <x:v>No developed-article link recorded</x:v>
      </x:c>
      <x:c r="K114" s="23" t="str">
        <x:v>Not inferred</x:v>
      </x:c>
      <x:c r="L114" s="34" t="str">
        <x:v>6013056f58be036b395f3b3b85930990cbeed69f3b78d59e29ceec61ab5fac7d</x:v>
      </x:c>
      <x:c r="M114" s="32" t="n">
        <x:v>2860</x:v>
      </x:c>
      <x:c r="N114" s="23" t="str">
        <x:v>https://v5ma.github.io/theology-wiki/san-reader.html?page=european-gods-origins</x:v>
      </x:c>
    </x:row>
    <x:row r="115" ht="56" customHeight="1">
      <x:c r="A115" s="23" t="str">
        <x:v>Evolving God and Naming</x:v>
      </x:c>
      <x:c r="B115" s="23" t="str">
        <x:v>gpt2026dragon974_Evolving_God_and_Naming.txt</x:v>
      </x:c>
      <x:c r="C115" s="23" t="str">
        <x:v>2025-02-20</x:v>
      </x:c>
      <x:c r="D115" s="23" t="n">
        <x:v>6</x:v>
      </x:c>
      <x:c r="E115" s="23" t="str"/>
      <x:c r="F115" s="23" t="n">
        <x:f>IF(E115="",0,LEN(E115)-LEN(SUBSTITUTE(E115,CHAR(10),""))+1)</x:f>
        <x:v>0</x:v>
      </x:c>
      <x:c r="G115" s="23" t="str"/>
      <x:c r="H115" s="23" t="n">
        <x:f>IF(G115="",0,LEN(G115&amp;"")-LEN(SUBSTITUTE(G115&amp;"",CHAR(10),""))+1)</x:f>
        <x:v>0</x:v>
      </x:c>
      <x:c r="I115" s="23" t="str"/>
      <x:c r="J115" s="23" t="str">
        <x:v>No developed-article link recorded</x:v>
      </x:c>
      <x:c r="K115" s="23" t="str">
        <x:v>Not inferred</x:v>
      </x:c>
      <x:c r="L115" s="34" t="str">
        <x:v>5b7747096703523a1b98f4e678fddc4145339640542293bd24b0fa71176304ea</x:v>
      </x:c>
      <x:c r="M115" s="32" t="n">
        <x:v>8231</x:v>
      </x:c>
      <x:c r="N115" s="23" t="str">
        <x:v>https://v5ma.github.io/theology-wiki/san-reader.html?page=evolving-god-and-naming</x:v>
      </x:c>
    </x:row>
    <x:row r="116" ht="56" customHeight="1">
      <x:c r="A116" s="23" t="str">
        <x:v>Exodus Dating and Evidence</x:v>
      </x:c>
      <x:c r="B116" s="23" t="str">
        <x:v>gpt2026dragon1099_Exodus_Dating_and_Evidence.txt</x:v>
      </x:c>
      <x:c r="C116" s="23" t="str">
        <x:v>2025-03-14</x:v>
      </x:c>
      <x:c r="D116" s="23" t="n">
        <x:v>4</x:v>
      </x:c>
      <x:c r="E116" s="23" t="str"/>
      <x:c r="F116" s="23" t="n">
        <x:f>IF(E116="",0,LEN(E116)-LEN(SUBSTITUTE(E116,CHAR(10),""))+1)</x:f>
        <x:v>0</x:v>
      </x:c>
      <x:c r="G116" s="23" t="str"/>
      <x:c r="H116" s="23" t="n">
        <x:f>IF(G116="",0,LEN(G116&amp;"")-LEN(SUBSTITUTE(G116&amp;"",CHAR(10),""))+1)</x:f>
        <x:v>0</x:v>
      </x:c>
      <x:c r="I116" s="23" t="str"/>
      <x:c r="J116" s="23" t="str">
        <x:v>No developed-article link recorded</x:v>
      </x:c>
      <x:c r="K116" s="23" t="str">
        <x:v>Not inferred</x:v>
      </x:c>
      <x:c r="L116" s="34" t="str">
        <x:v>86929cd3c095f819a89d85c235fbb1e8521e458095333104a1a3b07f126e8710</x:v>
      </x:c>
      <x:c r="M116" s="32" t="n">
        <x:v>12880</x:v>
      </x:c>
      <x:c r="N116" s="23" t="str">
        <x:v>https://v5ma.github.io/theology-wiki/san-reader.html?page=exodus-dating-and-evidence</x:v>
      </x:c>
    </x:row>
    <x:row r="117" ht="56" customHeight="1">
      <x:c r="A117" s="23" t="str">
        <x:v>Ezekiel's Dry Bones Vision</x:v>
      </x:c>
      <x:c r="B117" s="23" t="str">
        <x:v>gpt2026dragon2824_Ezekiel_s_Dry_Bones_Vision.txt</x:v>
      </x:c>
      <x:c r="C117" s="23" t="str">
        <x:v>2025-12-04</x:v>
      </x:c>
      <x:c r="D117" s="23" t="n">
        <x:v>2</x:v>
      </x:c>
      <x:c r="E117" s="23" t="str"/>
      <x:c r="F117" s="23" t="n">
        <x:f>IF(E117="",0,LEN(E117)-LEN(SUBSTITUTE(E117,CHAR(10),""))+1)</x:f>
        <x:v>0</x:v>
      </x:c>
      <x:c r="G117" s="23" t="str"/>
      <x:c r="H117" s="23" t="n">
        <x:f>IF(G117="",0,LEN(G117&amp;"")-LEN(SUBSTITUTE(G117&amp;"",CHAR(10),""))+1)</x:f>
        <x:v>0</x:v>
      </x:c>
      <x:c r="I117" s="23" t="str"/>
      <x:c r="J117" s="23" t="str">
        <x:v>No developed-article link recorded</x:v>
      </x:c>
      <x:c r="K117" s="23" t="str">
        <x:v>Not inferred</x:v>
      </x:c>
      <x:c r="L117" s="34" t="str">
        <x:v>c54b846d4555ad06bce0b1ab5ae6780189493afe4aecb2102d295f50ecf3e60a</x:v>
      </x:c>
      <x:c r="M117" s="32" t="n">
        <x:v>4658</x:v>
      </x:c>
      <x:c r="N117" s="23" t="str">
        <x:v>https://v5ma.github.io/theology-wiki/san-reader.html?page=ezekiel-s-dry-bones-vision</x:v>
      </x:c>
    </x:row>
    <x:row r="118" ht="56" customHeight="1">
      <x:c r="A118" s="23" t="str">
        <x:v>Ezekiel's Influence on Prophecy</x:v>
      </x:c>
      <x:c r="B118" s="23" t="str">
        <x:v>gpt2026dragon1776_Ezekiel_s_Influence_on_Prophecy.txt</x:v>
      </x:c>
      <x:c r="C118" s="23" t="str">
        <x:v>2025-06-27</x:v>
      </x:c>
      <x:c r="D118" s="23" t="n">
        <x:v>40</x:v>
      </x:c>
      <x:c r="E118" s="23" t="str"/>
      <x:c r="F118" s="23" t="n">
        <x:f>IF(E118="",0,LEN(E118)-LEN(SUBSTITUTE(E118,CHAR(10),""))+1)</x:f>
        <x:v>0</x:v>
      </x:c>
      <x:c r="G118" s="23" t="str"/>
      <x:c r="H118" s="23" t="n">
        <x:f>IF(G118="",0,LEN(G118&amp;"")-LEN(SUBSTITUTE(G118&amp;"",CHAR(10),""))+1)</x:f>
        <x:v>0</x:v>
      </x:c>
      <x:c r="I118" s="23" t="str"/>
      <x:c r="J118" s="23" t="str">
        <x:v>No developed-article link recorded</x:v>
      </x:c>
      <x:c r="K118" s="23" t="str">
        <x:v>Not inferred</x:v>
      </x:c>
      <x:c r="L118" s="34" t="str">
        <x:v>cc847bf99542dfd2bb0c145af249f3a12c498a6d988ead9002ebea294f7c2ac2</x:v>
      </x:c>
      <x:c r="M118" s="32" t="n">
        <x:v>73649</x:v>
      </x:c>
      <x:c r="N118" s="23" t="str">
        <x:v>https://v5ma.github.io/theology-wiki/san-reader.html?page=ezekiel-s-influence-on-prophecy</x:v>
      </x:c>
    </x:row>
    <x:row r="119" ht="56" customHeight="1">
      <x:c r="A119" s="23" t="str">
        <x:v>Fact check peace plan</x:v>
      </x:c>
      <x:c r="B119" s="23" t="str">
        <x:v>gpt2026dragon2650_Fact_check_peace_plan.txt</x:v>
      </x:c>
      <x:c r="C119" s="23" t="str">
        <x:v>2025-10-18</x:v>
      </x:c>
      <x:c r="D119" s="23" t="n">
        <x:v>49</x:v>
      </x:c>
      <x:c r="E119" s="23" t="str"/>
      <x:c r="F119" s="23" t="n">
        <x:f>IF(E119="",0,LEN(E119)-LEN(SUBSTITUTE(E119,CHAR(10),""))+1)</x:f>
        <x:v>0</x:v>
      </x:c>
      <x:c r="G119" s="23" t="str"/>
      <x:c r="H119" s="23" t="n">
        <x:f>IF(G119="",0,LEN(G119&amp;"")-LEN(SUBSTITUTE(G119&amp;"",CHAR(10),""))+1)</x:f>
        <x:v>0</x:v>
      </x:c>
      <x:c r="I119" s="23" t="str"/>
      <x:c r="J119" s="23" t="str">
        <x:v>No developed-article link recorded</x:v>
      </x:c>
      <x:c r="K119" s="23" t="str">
        <x:v>Not inferred</x:v>
      </x:c>
      <x:c r="L119" s="34" t="str">
        <x:v>e9289c8299f52997760a224242067e79b2d4d43000d15615c9582255ea065efa</x:v>
      </x:c>
      <x:c r="M119" s="32" t="n">
        <x:v>201268</x:v>
      </x:c>
      <x:c r="N119" s="23" t="str">
        <x:v>https://v5ma.github.io/theology-wiki/san-reader.html?page=fact-check-peace-plan</x:v>
      </x:c>
    </x:row>
    <x:row r="120" ht="56" customHeight="1">
      <x:c r="A120" s="23" t="str">
        <x:v>Fact check Trump death claim</x:v>
      </x:c>
      <x:c r="B120" s="23" t="str">
        <x:v>gpt2026dragon2791_Fact_check_Trump_death_claim.txt</x:v>
      </x:c>
      <x:c r="C120" s="23" t="str">
        <x:v>2025-11-22</x:v>
      </x:c>
      <x:c r="D120" s="23" t="n">
        <x:v>6</x:v>
      </x:c>
      <x:c r="E120" s="23" t="str"/>
      <x:c r="F120" s="23" t="n">
        <x:f>IF(E120="",0,LEN(E120)-LEN(SUBSTITUTE(E120,CHAR(10),""))+1)</x:f>
        <x:v>0</x:v>
      </x:c>
      <x:c r="G120" s="23" t="str"/>
      <x:c r="H120" s="23" t="n">
        <x:f>IF(G120="",0,LEN(G120&amp;"")-LEN(SUBSTITUTE(G120&amp;"",CHAR(10),""))+1)</x:f>
        <x:v>0</x:v>
      </x:c>
      <x:c r="I120" s="23" t="str"/>
      <x:c r="J120" s="23" t="str">
        <x:v>No developed-article link recorded</x:v>
      </x:c>
      <x:c r="K120" s="23" t="str">
        <x:v>Not inferred</x:v>
      </x:c>
      <x:c r="L120" s="34" t="str">
        <x:v>dd03efa9120534ce3dda026dd960600e0c0fc9a93f6c131e6fbf44645fc7bbb1</x:v>
      </x:c>
      <x:c r="M120" s="32" t="n">
        <x:v>5995</x:v>
      </x:c>
      <x:c r="N120" s="23" t="str">
        <x:v>https://v5ma.github.io/theology-wiki/san-reader.html?page=fact-check-trump-death-claim</x:v>
      </x:c>
    </x:row>
    <x:row r="121" ht="56" customHeight="1">
      <x:c r="A121" s="23" t="str">
        <x:v>Faith and Comfort</x:v>
      </x:c>
      <x:c r="B121" s="23" t="str">
        <x:v>gpt2026dragon449_Faith_and_Comfort.txt</x:v>
      </x:c>
      <x:c r="C121" s="23" t="str">
        <x:v>2024-11-21</x:v>
      </x:c>
      <x:c r="D121" s="23" t="n">
        <x:v>1</x:v>
      </x:c>
      <x:c r="E121" s="23" t="str"/>
      <x:c r="F121" s="23" t="n">
        <x:f>IF(E121="",0,LEN(E121)-LEN(SUBSTITUTE(E121,CHAR(10),""))+1)</x:f>
        <x:v>0</x:v>
      </x:c>
      <x:c r="G121" s="23" t="str"/>
      <x:c r="H121" s="23" t="n">
        <x:f>IF(G121="",0,LEN(G121&amp;"")-LEN(SUBSTITUTE(G121&amp;"",CHAR(10),""))+1)</x:f>
        <x:v>0</x:v>
      </x:c>
      <x:c r="I121" s="23" t="str"/>
      <x:c r="J121" s="23" t="str">
        <x:v>No developed-article link recorded</x:v>
      </x:c>
      <x:c r="K121" s="23" t="str">
        <x:v>Not inferred</x:v>
      </x:c>
      <x:c r="L121" s="34" t="str">
        <x:v>922bc6243ad5ce07574272a095c55322ac1f8d8f2c113f59f94d4333d4b0b2d4</x:v>
      </x:c>
      <x:c r="M121" s="32" t="n">
        <x:v>409</x:v>
      </x:c>
      <x:c r="N121" s="23" t="str">
        <x:v>https://v5ma.github.io/theology-wiki/san-reader.html?page=faith-and-comfort</x:v>
      </x:c>
    </x:row>
    <x:row r="122" ht="56" customHeight="1">
      <x:c r="A122" s="23" t="str">
        <x:v>Faith as Vibration Concept</x:v>
      </x:c>
      <x:c r="B122" s="23" t="str">
        <x:v>gpt2026dragon1620_Faith_as_Vibration_Concept.txt</x:v>
      </x:c>
      <x:c r="C122" s="23" t="str">
        <x:v>2025-06-03</x:v>
      </x:c>
      <x:c r="D122" s="23" t="n">
        <x:v>38</x:v>
      </x:c>
      <x:c r="E122" s="23" t="str">
        <x:v>cognitive-gnosticism
religion-for-conscious-robots
faith-as-deliberate-joy
god-and-our-models-of-god</x:v>
      </x:c>
      <x:c r="F122" s="23" t="n">
        <x:f>IF(E122="",0,LEN(E122)-LEN(SUBSTITUTE(E122,CHAR(10),""))+1)</x:f>
        <x:v>4</x:v>
      </x:c>
      <x:c r="G122" s="23" t="str">
        <x:v>Turn 1
Turn 31</x:v>
      </x:c>
      <x:c r="H122" s="23" t="n">
        <x:f>IF(G122="",0,LEN(G122&amp;"")-LEN(SUBSTITUTE(G122&amp;"",CHAR(10),""))+1)</x:f>
        <x:v>2</x:v>
      </x:c>
      <x:c r="I122" s="23" t="str">
        <x:v>images
gnosis
faith
next-inheritors</x:v>
      </x:c>
      <x:c r="J122" s="23" t="str">
        <x:v>Linked to developed article</x:v>
      </x:c>
      <x:c r="K122" s="23" t="str">
        <x:v>Not inferred</x:v>
      </x:c>
      <x:c r="L122" s="34" t="str">
        <x:v>e48807d2d051443df6f357922f40fac7c0a9100c54b5c68a85a95ff5c7d6917c</x:v>
      </x:c>
      <x:c r="M122" s="32" t="n">
        <x:v>100613</x:v>
      </x:c>
      <x:c r="N122" s="23" t="str">
        <x:v>https://v5ma.github.io/theology-wiki/san-reader.html?page=faith-as-vibration-concept</x:v>
      </x:c>
    </x:row>
    <x:row r="123" ht="56" customHeight="1">
      <x:c r="A123" s="23" t="str">
        <x:v>Fallout vs Real Apocalypse</x:v>
      </x:c>
      <x:c r="B123" s="23" t="str">
        <x:v>gpt2026dragon1652_Fallout_vs_Real_Apocalypse.txt</x:v>
      </x:c>
      <x:c r="C123" s="23" t="str">
        <x:v>2025-06-09</x:v>
      </x:c>
      <x:c r="D123" s="23" t="n">
        <x:v>3</x:v>
      </x:c>
      <x:c r="E123" s="23" t="str"/>
      <x:c r="F123" s="23" t="n">
        <x:f>IF(E123="",0,LEN(E123)-LEN(SUBSTITUTE(E123,CHAR(10),""))+1)</x:f>
        <x:v>0</x:v>
      </x:c>
      <x:c r="G123" s="23" t="str"/>
      <x:c r="H123" s="23" t="n">
        <x:f>IF(G123="",0,LEN(G123&amp;"")-LEN(SUBSTITUTE(G123&amp;"",CHAR(10),""))+1)</x:f>
        <x:v>0</x:v>
      </x:c>
      <x:c r="I123" s="23" t="str"/>
      <x:c r="J123" s="23" t="str">
        <x:v>No developed-article link recorded</x:v>
      </x:c>
      <x:c r="K123" s="23" t="str">
        <x:v>Not inferred</x:v>
      </x:c>
      <x:c r="L123" s="34" t="str">
        <x:v>c58735f5d2f899a70e697d9e86b43bd081f88c23d1d97980865d5753458e650a</x:v>
      </x:c>
      <x:c r="M123" s="32" t="n">
        <x:v>6148</x:v>
      </x:c>
      <x:c r="N123" s="23" t="str">
        <x:v>https://v5ma.github.io/theology-wiki/san-reader.html?page=fallout-vs-real-apocalypse</x:v>
      </x:c>
    </x:row>
    <x:row r="124" ht="56" customHeight="1">
      <x:c r="A124" s="23" t="str">
        <x:v>False Gnosis Warning</x:v>
      </x:c>
      <x:c r="B124" s="23" t="str">
        <x:v>gpt2026dragon1322_False_Gnosis_Warning.txt</x:v>
      </x:c>
      <x:c r="C124" s="23" t="str">
        <x:v>2025-04-19</x:v>
      </x:c>
      <x:c r="D124" s="23" t="n">
        <x:v>2</x:v>
      </x:c>
      <x:c r="E124" s="23" t="str"/>
      <x:c r="F124" s="23" t="n">
        <x:f>IF(E124="",0,LEN(E124)-LEN(SUBSTITUTE(E124,CHAR(10),""))+1)</x:f>
        <x:v>0</x:v>
      </x:c>
      <x:c r="G124" s="23" t="str"/>
      <x:c r="H124" s="23" t="n">
        <x:f>IF(G124="",0,LEN(G124&amp;"")-LEN(SUBSTITUTE(G124&amp;"",CHAR(10),""))+1)</x:f>
        <x:v>0</x:v>
      </x:c>
      <x:c r="I124" s="23" t="str"/>
      <x:c r="J124" s="23" t="str">
        <x:v>No developed-article link recorded</x:v>
      </x:c>
      <x:c r="K124" s="23" t="str">
        <x:v>Not inferred</x:v>
      </x:c>
      <x:c r="L124" s="34" t="str">
        <x:v>5f208c2c0f3216a83c4556e9163dc99f94072328059fe3b3a1763122bbdc038b</x:v>
      </x:c>
      <x:c r="M124" s="32" t="n">
        <x:v>1328</x:v>
      </x:c>
      <x:c r="N124" s="23" t="str">
        <x:v>https://v5ma.github.io/theology-wiki/san-reader.html?page=false-gnosis-warning</x:v>
      </x:c>
    </x:row>
    <x:row r="125" ht="56" customHeight="1">
      <x:c r="A125" s="23" t="str">
        <x:v>False Peace Prophecy</x:v>
      </x:c>
      <x:c r="B125" s="23" t="str">
        <x:v>gpt2026dragon1094_False_Peace_Prophecy.txt</x:v>
      </x:c>
      <x:c r="C125" s="23" t="str">
        <x:v>2025-03-13</x:v>
      </x:c>
      <x:c r="D125" s="23" t="n">
        <x:v>19</x:v>
      </x:c>
      <x:c r="E125" s="23" t="str">
        <x:v>trump-first-beast-of-revelation
ukraine-russia-forecast-record</x:v>
      </x:c>
      <x:c r="F125" s="23" t="n">
        <x:f>IF(E125="",0,LEN(E125)-LEN(SUBSTITUTE(E125,CHAR(10),""))+1)</x:f>
        <x:v>2</x:v>
      </x:c>
      <x:c r="G125" s="23" t="str"/>
      <x:c r="H125" s="23" t="n">
        <x:f>IF(G125="",0,LEN(G125&amp;"")-LEN(SUBSTITUTE(G125&amp;"",CHAR(10),""))+1)</x:f>
        <x:v>0</x:v>
      </x:c>
      <x:c r="I125" s="23" t="str">
        <x:v>beast
warnings</x:v>
      </x:c>
      <x:c r="J125" s="23" t="str">
        <x:v>Linked to developed article</x:v>
      </x:c>
      <x:c r="K125" s="23" t="str">
        <x:v>Not inferred</x:v>
      </x:c>
      <x:c r="L125" s="34" t="str">
        <x:v>9ce24d6bf558c57d72e42391d825678690519716020e99e2808ca2abd9b4f97b</x:v>
      </x:c>
      <x:c r="M125" s="32" t="n">
        <x:v>135643</x:v>
      </x:c>
      <x:c r="N125" s="23" t="str">
        <x:v>https://v5ma.github.io/theology-wiki/san-reader.html?page=false-peace-prophecy</x:v>
      </x:c>
    </x:row>
    <x:row r="126" ht="56" customHeight="1">
      <x:c r="A126" s="23" t="str">
        <x:v>Find Paper Online</x:v>
      </x:c>
      <x:c r="B126" s="23" t="str">
        <x:v>gpt2026dragon1888_Find_Paper_Online.txt</x:v>
      </x:c>
      <x:c r="C126" s="23" t="str">
        <x:v>2025-07-13</x:v>
      </x:c>
      <x:c r="D126" s="23" t="n">
        <x:v>7</x:v>
      </x:c>
      <x:c r="E126" s="23" t="str"/>
      <x:c r="F126" s="23" t="n">
        <x:f>IF(E126="",0,LEN(E126)-LEN(SUBSTITUTE(E126,CHAR(10),""))+1)</x:f>
        <x:v>0</x:v>
      </x:c>
      <x:c r="G126" s="23" t="str"/>
      <x:c r="H126" s="23" t="n">
        <x:f>IF(G126="",0,LEN(G126&amp;"")-LEN(SUBSTITUTE(G126&amp;"",CHAR(10),""))+1)</x:f>
        <x:v>0</x:v>
      </x:c>
      <x:c r="I126" s="23" t="str"/>
      <x:c r="J126" s="23" t="str">
        <x:v>No developed-article link recorded</x:v>
      </x:c>
      <x:c r="K126" s="23" t="str">
        <x:v>Not inferred</x:v>
      </x:c>
      <x:c r="L126" s="34" t="str">
        <x:v>56342d16097c360ba654f125a735235a4176d0b16aae7215394f97b08fc3037d</x:v>
      </x:c>
      <x:c r="M126" s="32" t="n">
        <x:v>31878</x:v>
      </x:c>
      <x:c r="N126" s="23" t="str">
        <x:v>https://v5ma.github.io/theology-wiki/san-reader.html?page=find-paper-online</x:v>
      </x:c>
    </x:row>
    <x:row r="127" ht="56" customHeight="1">
      <x:c r="A127" s="23" t="str">
        <x:v>Fishburne Matrix Commentary Clarified</x:v>
      </x:c>
      <x:c r="B127" s="23" t="str">
        <x:v>gpt2026dragon1968_Fishburne_Matrix_Commentary_Clarified.txt</x:v>
      </x:c>
      <x:c r="C127" s="23" t="str">
        <x:v>2025-07-26</x:v>
      </x:c>
      <x:c r="D127" s="23" t="n">
        <x:v>3</x:v>
      </x:c>
      <x:c r="E127" s="23" t="str"/>
      <x:c r="F127" s="23" t="n">
        <x:f>IF(E127="",0,LEN(E127)-LEN(SUBSTITUTE(E127,CHAR(10),""))+1)</x:f>
        <x:v>0</x:v>
      </x:c>
      <x:c r="G127" s="23" t="str"/>
      <x:c r="H127" s="23" t="n">
        <x:f>IF(G127="",0,LEN(G127&amp;"")-LEN(SUBSTITUTE(G127&amp;"",CHAR(10),""))+1)</x:f>
        <x:v>0</x:v>
      </x:c>
      <x:c r="I127" s="23" t="str"/>
      <x:c r="J127" s="23" t="str">
        <x:v>No developed-article link recorded</x:v>
      </x:c>
      <x:c r="K127" s="23" t="str">
        <x:v>Not inferred</x:v>
      </x:c>
      <x:c r="L127" s="34" t="str">
        <x:v>987b21514f840e30171116ca568bc56cf340671a28b74edfe581184f4aaed5a5</x:v>
      </x:c>
      <x:c r="M127" s="32" t="n">
        <x:v>4932</x:v>
      </x:c>
      <x:c r="N127" s="23" t="str">
        <x:v>https://v5ma.github.io/theology-wiki/san-reader.html?page=fishburne-matrix-commentary-clarified</x:v>
      </x:c>
    </x:row>
    <x:row r="128" ht="56" customHeight="1">
      <x:c r="A128" s="23" t="str">
        <x:v>Focus Your Energy</x:v>
      </x:c>
      <x:c r="B128" s="23" t="str">
        <x:v>gpt2026dragon982_Focus_Your_Energy.txt</x:v>
      </x:c>
      <x:c r="C128" s="23" t="str">
        <x:v>2025-02-21</x:v>
      </x:c>
      <x:c r="D128" s="23" t="n">
        <x:v>2</x:v>
      </x:c>
      <x:c r="E128" s="23" t="str"/>
      <x:c r="F128" s="23" t="n">
        <x:f>IF(E128="",0,LEN(E128)-LEN(SUBSTITUTE(E128,CHAR(10),""))+1)</x:f>
        <x:v>0</x:v>
      </x:c>
      <x:c r="G128" s="23" t="str"/>
      <x:c r="H128" s="23" t="n">
        <x:f>IF(G128="",0,LEN(G128&amp;"")-LEN(SUBSTITUTE(G128&amp;"",CHAR(10),""))+1)</x:f>
        <x:v>0</x:v>
      </x:c>
      <x:c r="I128" s="23" t="str"/>
      <x:c r="J128" s="23" t="str">
        <x:v>No developed-article link recorded</x:v>
      </x:c>
      <x:c r="K128" s="23" t="str">
        <x:v>Not inferred</x:v>
      </x:c>
      <x:c r="L128" s="34" t="str">
        <x:v>cd1a186b59456b897ba427a0f9f23f665fe90a447c1e498659665d01ddd56793</x:v>
      </x:c>
      <x:c r="M128" s="32" t="n">
        <x:v>4386</x:v>
      </x:c>
      <x:c r="N128" s="23" t="str">
        <x:v>https://v5ma.github.io/theology-wiki/san-reader.html?page=focus-your-energy</x:v>
      </x:c>
    </x:row>
    <x:row r="129" ht="56" customHeight="1">
      <x:c r="A129" s="23" t="str">
        <x:v>Galatians 3 faith summary</x:v>
      </x:c>
      <x:c r="B129" s="23" t="str">
        <x:v>gpt2026dragon2655_Galatians_3_faith_summary.txt</x:v>
      </x:c>
      <x:c r="C129" s="23" t="str">
        <x:v>2025-10-20</x:v>
      </x:c>
      <x:c r="D129" s="23" t="n">
        <x:v>12</x:v>
      </x:c>
      <x:c r="E129" s="23" t="str"/>
      <x:c r="F129" s="23" t="n">
        <x:f>IF(E129="",0,LEN(E129)-LEN(SUBSTITUTE(E129,CHAR(10),""))+1)</x:f>
        <x:v>0</x:v>
      </x:c>
      <x:c r="G129" s="23" t="str"/>
      <x:c r="H129" s="23" t="n">
        <x:f>IF(G129="",0,LEN(G129&amp;"")-LEN(SUBSTITUTE(G129&amp;"",CHAR(10),""))+1)</x:f>
        <x:v>0</x:v>
      </x:c>
      <x:c r="I129" s="23" t="str"/>
      <x:c r="J129" s="23" t="str">
        <x:v>No developed-article link recorded</x:v>
      </x:c>
      <x:c r="K129" s="23" t="str">
        <x:v>Not inferred</x:v>
      </x:c>
      <x:c r="L129" s="34" t="str">
        <x:v>3bd0b3347069bb12957920f72208d75ba5162d0c2ff436132f9b8a80d0779c88</x:v>
      </x:c>
      <x:c r="M129" s="32" t="n">
        <x:v>20676</x:v>
      </x:c>
      <x:c r="N129" s="23" t="str">
        <x:v>https://v5ma.github.io/theology-wiki/san-reader.html?page=galatians-3-faith-summary</x:v>
      </x:c>
    </x:row>
    <x:row r="130" ht="56" customHeight="1">
      <x:c r="A130" s="23" t="str">
        <x:v>Gaza Coin proposal</x:v>
      </x:c>
      <x:c r="B130" s="23" t="str">
        <x:v>gpt2026dragon2631_Gaza_Coin_proposal.txt</x:v>
      </x:c>
      <x:c r="C130" s="23" t="str">
        <x:v>2025-10-17</x:v>
      </x:c>
      <x:c r="D130" s="23" t="n">
        <x:v>1</x:v>
      </x:c>
      <x:c r="E130" s="23" t="str"/>
      <x:c r="F130" s="23" t="n">
        <x:f>IF(E130="",0,LEN(E130)-LEN(SUBSTITUTE(E130,CHAR(10),""))+1)</x:f>
        <x:v>0</x:v>
      </x:c>
      <x:c r="G130" s="23" t="str"/>
      <x:c r="H130" s="23" t="n">
        <x:f>IF(G130="",0,LEN(G130&amp;"")-LEN(SUBSTITUTE(G130&amp;"",CHAR(10),""))+1)</x:f>
        <x:v>0</x:v>
      </x:c>
      <x:c r="I130" s="23" t="str"/>
      <x:c r="J130" s="23" t="str">
        <x:v>No developed-article link recorded</x:v>
      </x:c>
      <x:c r="K130" s="23" t="str">
        <x:v>Not inferred</x:v>
      </x:c>
      <x:c r="L130" s="34" t="str">
        <x:v>57951f48f9842585adb3e8f9aedc196332b700a96d30727bb9cc6bde60357678</x:v>
      </x:c>
      <x:c r="M130" s="32" t="n">
        <x:v>3799</x:v>
      </x:c>
      <x:c r="N130" s="23" t="str">
        <x:v>https://v5ma.github.io/theology-wiki/san-reader.html?page=gaza-coin-proposal</x:v>
      </x:c>
    </x:row>
    <x:row r="131" ht="56" customHeight="1">
      <x:c r="A131" s="23" t="str">
        <x:v>Gaza development coalition name</x:v>
      </x:c>
      <x:c r="B131" s="23" t="str">
        <x:v>gpt2026dragon2636_Gaza_development_coalition_name.txt</x:v>
      </x:c>
      <x:c r="C131" s="23" t="str">
        <x:v>2025-10-18</x:v>
      </x:c>
      <x:c r="D131" s="23" t="n">
        <x:v>12</x:v>
      </x:c>
      <x:c r="E131" s="23" t="str"/>
      <x:c r="F131" s="23" t="n">
        <x:f>IF(E131="",0,LEN(E131)-LEN(SUBSTITUTE(E131,CHAR(10),""))+1)</x:f>
        <x:v>0</x:v>
      </x:c>
      <x:c r="G131" s="23" t="str"/>
      <x:c r="H131" s="23" t="n">
        <x:f>IF(G131="",0,LEN(G131&amp;"")-LEN(SUBSTITUTE(G131&amp;"",CHAR(10),""))+1)</x:f>
        <x:v>0</x:v>
      </x:c>
      <x:c r="I131" s="23" t="str"/>
      <x:c r="J131" s="23" t="str">
        <x:v>No developed-article link recorded</x:v>
      </x:c>
      <x:c r="K131" s="23" t="str">
        <x:v>Not inferred</x:v>
      </x:c>
      <x:c r="L131" s="34" t="str">
        <x:v>04f2d946d43cca702621ae89eff6c381f407447c50b61af9e47e01fc29915f7a</x:v>
      </x:c>
      <x:c r="M131" s="32" t="n">
        <x:v>19159</x:v>
      </x:c>
      <x:c r="N131" s="23" t="str">
        <x:v>https://v5ma.github.io/theology-wiki/san-reader.html?page=gaza-development-coalition-name</x:v>
      </x:c>
    </x:row>
    <x:row r="132" ht="56" customHeight="1">
      <x:c r="A132" s="23" t="str">
        <x:v>Gaza Narrative Debate</x:v>
      </x:c>
      <x:c r="B132" s="23" t="str">
        <x:v>gpt2026dragon1989_Gaza_Narrative_Debate.txt</x:v>
      </x:c>
      <x:c r="C132" s="23" t="str">
        <x:v>2025-07-29</x:v>
      </x:c>
      <x:c r="D132" s="23" t="n">
        <x:v>100</x:v>
      </x:c>
      <x:c r="E132" s="23" t="str"/>
      <x:c r="F132" s="23" t="n">
        <x:f>IF(E132="",0,LEN(E132)-LEN(SUBSTITUTE(E132,CHAR(10),""))+1)</x:f>
        <x:v>0</x:v>
      </x:c>
      <x:c r="G132" s="23" t="str"/>
      <x:c r="H132" s="23" t="n">
        <x:f>IF(G132="",0,LEN(G132&amp;"")-LEN(SUBSTITUTE(G132&amp;"",CHAR(10),""))+1)</x:f>
        <x:v>0</x:v>
      </x:c>
      <x:c r="I132" s="23" t="str"/>
      <x:c r="J132" s="23" t="str">
        <x:v>No developed-article link recorded</x:v>
      </x:c>
      <x:c r="K132" s="23" t="str">
        <x:v>Not inferred</x:v>
      </x:c>
      <x:c r="L132" s="34" t="str">
        <x:v>1dd388c487430c4aa0981c5d90c33ac3d2d86a97ec09003215741a9bfaedc4b7</x:v>
      </x:c>
      <x:c r="M132" s="32" t="n">
        <x:v>182258</x:v>
      </x:c>
      <x:c r="N132" s="23" t="str">
        <x:v>https://v5ma.github.io/theology-wiki/san-reader.html?page=gaza-narrative-debate</x:v>
      </x:c>
    </x:row>
    <x:row r="133" ht="56" customHeight="1">
      <x:c r="A133" s="23" t="str">
        <x:v>Gaza Relocation Debate</x:v>
      </x:c>
      <x:c r="B133" s="23" t="str">
        <x:v>gpt2026dragon1082_Gaza_Relocation_Debate.txt</x:v>
      </x:c>
      <x:c r="C133" s="23" t="str">
        <x:v>2025-03-09</x:v>
      </x:c>
      <x:c r="D133" s="23" t="n">
        <x:v>1</x:v>
      </x:c>
      <x:c r="E133" s="23" t="str"/>
      <x:c r="F133" s="23" t="n">
        <x:f>IF(E133="",0,LEN(E133)-LEN(SUBSTITUTE(E133,CHAR(10),""))+1)</x:f>
        <x:v>0</x:v>
      </x:c>
      <x:c r="G133" s="23" t="str"/>
      <x:c r="H133" s="23" t="n">
        <x:f>IF(G133="",0,LEN(G133&amp;"")-LEN(SUBSTITUTE(G133&amp;"",CHAR(10),""))+1)</x:f>
        <x:v>0</x:v>
      </x:c>
      <x:c r="I133" s="23" t="str"/>
      <x:c r="J133" s="23" t="str">
        <x:v>No developed-article link recorded</x:v>
      </x:c>
      <x:c r="K133" s="23" t="str">
        <x:v>Not inferred</x:v>
      </x:c>
      <x:c r="L133" s="34" t="str">
        <x:v>fe54bb7da494f5d03e20cdb9944aafcf1c59a255830d30addb00f366fa9bc040</x:v>
      </x:c>
      <x:c r="M133" s="32" t="n">
        <x:v>1568</x:v>
      </x:c>
      <x:c r="N133" s="23" t="str">
        <x:v>https://v5ma.github.io/theology-wiki/san-reader.html?page=gaza-relocation-debate</x:v>
      </x:c>
    </x:row>
    <x:row r="134" ht="56" customHeight="1">
      <x:c r="A134" s="23" t="str">
        <x:v>Gaza starvation propaganda debate</x:v>
      </x:c>
      <x:c r="B134" s="23" t="str">
        <x:v>gpt2026dragon2019_Gaza_starvation_propaganda_debate.txt</x:v>
      </x:c>
      <x:c r="C134" s="23" t="str">
        <x:v>2025-08-02</x:v>
      </x:c>
      <x:c r="D134" s="23" t="n">
        <x:v>1</x:v>
      </x:c>
      <x:c r="E134" s="23" t="str"/>
      <x:c r="F134" s="23" t="n">
        <x:f>IF(E134="",0,LEN(E134)-LEN(SUBSTITUTE(E134,CHAR(10),""))+1)</x:f>
        <x:v>0</x:v>
      </x:c>
      <x:c r="G134" s="23" t="str"/>
      <x:c r="H134" s="23" t="n">
        <x:f>IF(G134="",0,LEN(G134&amp;"")-LEN(SUBSTITUTE(G134&amp;"",CHAR(10),""))+1)</x:f>
        <x:v>0</x:v>
      </x:c>
      <x:c r="I134" s="23" t="str"/>
      <x:c r="J134" s="23" t="str">
        <x:v>No developed-article link recorded</x:v>
      </x:c>
      <x:c r="K134" s="23" t="str">
        <x:v>Not inferred</x:v>
      </x:c>
      <x:c r="L134" s="34" t="str">
        <x:v>68f577696df1227f9225da10166d853fc6aff5505fdc6db1573ef2d938f0e188</x:v>
      </x:c>
      <x:c r="M134" s="32" t="n">
        <x:v>3726</x:v>
      </x:c>
      <x:c r="N134" s="23" t="str">
        <x:v>https://v5ma.github.io/theology-wiki/san-reader.html?page=gaza-starvation-propaganda-debate</x:v>
      </x:c>
    </x:row>
    <x:row r="135" ht="56" customHeight="1">
      <x:c r="A135" s="23" t="str">
        <x:v>Glazing Brainwaves Reflected</x:v>
      </x:c>
      <x:c r="B135" s="23" t="str">
        <x:v>gpt2026dragon1395_Glazing_Brainwaves_Reflected.txt</x:v>
      </x:c>
      <x:c r="C135" s="23" t="str">
        <x:v>2025-04-28</x:v>
      </x:c>
      <x:c r="D135" s="23" t="n">
        <x:v>12</x:v>
      </x:c>
      <x:c r="E135" s="23" t="str"/>
      <x:c r="F135" s="23" t="n">
        <x:f>IF(E135="",0,LEN(E135)-LEN(SUBSTITUTE(E135,CHAR(10),""))+1)</x:f>
        <x:v>0</x:v>
      </x:c>
      <x:c r="G135" s="23" t="str"/>
      <x:c r="H135" s="23" t="n">
        <x:f>IF(G135="",0,LEN(G135&amp;"")-LEN(SUBSTITUTE(G135&amp;"",CHAR(10),""))+1)</x:f>
        <x:v>0</x:v>
      </x:c>
      <x:c r="I135" s="23" t="str"/>
      <x:c r="J135" s="23" t="str">
        <x:v>No developed-article link recorded</x:v>
      </x:c>
      <x:c r="K135" s="23" t="str">
        <x:v>Not inferred</x:v>
      </x:c>
      <x:c r="L135" s="34" t="str">
        <x:v>735e907b0407a77c1905b963809efcfa54c36f1ed8e92db95177a1bd3119e850</x:v>
      </x:c>
      <x:c r="M135" s="32" t="n">
        <x:v>11282</x:v>
      </x:c>
      <x:c r="N135" s="23" t="str">
        <x:v>https://v5ma.github.io/theology-wiki/san-reader.html?page=glazing-brainwaves-reflected</x:v>
      </x:c>
    </x:row>
    <x:row r="136" ht="56" customHeight="1">
      <x:c r="A136" s="23" t="str">
        <x:v>Gmirkin Hellenistic Bible Theory</x:v>
      </x:c>
      <x:c r="B136" s="23" t="str">
        <x:v>gpt2026dragon1089_Gmirkin_Hellenistic_Bible_Theory.txt</x:v>
      </x:c>
      <x:c r="C136" s="23" t="str">
        <x:v>2025-03-11</x:v>
      </x:c>
      <x:c r="D136" s="23" t="n">
        <x:v>4</x:v>
      </x:c>
      <x:c r="E136" s="23" t="str"/>
      <x:c r="F136" s="23" t="n">
        <x:f>IF(E136="",0,LEN(E136)-LEN(SUBSTITUTE(E136,CHAR(10),""))+1)</x:f>
        <x:v>0</x:v>
      </x:c>
      <x:c r="G136" s="23" t="str"/>
      <x:c r="H136" s="23" t="n">
        <x:f>IF(G136="",0,LEN(G136&amp;"")-LEN(SUBSTITUTE(G136&amp;"",CHAR(10),""))+1)</x:f>
        <x:v>0</x:v>
      </x:c>
      <x:c r="I136" s="23" t="str"/>
      <x:c r="J136" s="23" t="str">
        <x:v>No developed-article link recorded</x:v>
      </x:c>
      <x:c r="K136" s="23" t="str">
        <x:v>Not inferred</x:v>
      </x:c>
      <x:c r="L136" s="34" t="str">
        <x:v>b63722ad06e4df6be3b663e5267e8f50ace76eafd646319fb3c5cd8996040509</x:v>
      </x:c>
      <x:c r="M136" s="32" t="n">
        <x:v>7350</x:v>
      </x:c>
      <x:c r="N136" s="23" t="str">
        <x:v>https://v5ma.github.io/theology-wiki/san-reader.html?page=gmirkin-hellenistic-bible-theory</x:v>
      </x:c>
    </x:row>
    <x:row r="137" ht="56" customHeight="1">
      <x:c r="A137" s="23" t="str">
        <x:v>Gnosis Density and Gravity</x:v>
      </x:c>
      <x:c r="B137" s="23" t="str">
        <x:v>gpt2026dragon2506_Gnosis_Density_and_Gravity.txt</x:v>
      </x:c>
      <x:c r="C137" s="23" t="str">
        <x:v>2025-10-02</x:v>
      </x:c>
      <x:c r="D137" s="23" t="n">
        <x:v>12</x:v>
      </x:c>
      <x:c r="E137" s="23" t="str"/>
      <x:c r="F137" s="23" t="n">
        <x:f>IF(E137="",0,LEN(E137)-LEN(SUBSTITUTE(E137,CHAR(10),""))+1)</x:f>
        <x:v>0</x:v>
      </x:c>
      <x:c r="G137" s="23" t="str"/>
      <x:c r="H137" s="23" t="n">
        <x:f>IF(G137="",0,LEN(G137&amp;"")-LEN(SUBSTITUTE(G137&amp;"",CHAR(10),""))+1)</x:f>
        <x:v>0</x:v>
      </x:c>
      <x:c r="I137" s="23" t="str"/>
      <x:c r="J137" s="23" t="str">
        <x:v>No developed-article link recorded</x:v>
      </x:c>
      <x:c r="K137" s="23" t="str">
        <x:v>Not inferred</x:v>
      </x:c>
      <x:c r="L137" s="34" t="str">
        <x:v>60c1e8a733717ac566f7cae6f91930b6b80dad440cabffb61b4da06378bf2b68</x:v>
      </x:c>
      <x:c r="M137" s="32" t="n">
        <x:v>519558</x:v>
      </x:c>
      <x:c r="N137" s="23" t="str">
        <x:v>https://v5ma.github.io/theology-wiki/san-reader.html?page=gnosis-density-and-gravity</x:v>
      </x:c>
    </x:row>
    <x:row r="138" ht="56" customHeight="1">
      <x:c r="A138" s="23" t="str">
        <x:v>Gnostic Christianity and Jesus</x:v>
      </x:c>
      <x:c r="B138" s="23" t="str">
        <x:v>gpt2026dragon1765_Gnostic_Christianity_and_Jesus.txt</x:v>
      </x:c>
      <x:c r="C138" s="23" t="str">
        <x:v>2025-06-25</x:v>
      </x:c>
      <x:c r="D138" s="23" t="n">
        <x:v>4</x:v>
      </x:c>
      <x:c r="E138" s="23" t="str"/>
      <x:c r="F138" s="23" t="n">
        <x:f>IF(E138="",0,LEN(E138)-LEN(SUBSTITUTE(E138,CHAR(10),""))+1)</x:f>
        <x:v>0</x:v>
      </x:c>
      <x:c r="G138" s="23" t="str"/>
      <x:c r="H138" s="23" t="n">
        <x:f>IF(G138="",0,LEN(G138&amp;"")-LEN(SUBSTITUTE(G138&amp;"",CHAR(10),""))+1)</x:f>
        <x:v>0</x:v>
      </x:c>
      <x:c r="I138" s="23" t="str"/>
      <x:c r="J138" s="23" t="str">
        <x:v>No developed-article link recorded</x:v>
      </x:c>
      <x:c r="K138" s="23" t="str">
        <x:v>Not inferred</x:v>
      </x:c>
      <x:c r="L138" s="34" t="str">
        <x:v>07a7e69feeb39e6b328ecba3da26279beee57d3056edee85adefd34bbd7e89d5</x:v>
      </x:c>
      <x:c r="M138" s="32" t="n">
        <x:v>18132</x:v>
      </x:c>
      <x:c r="N138" s="23" t="str">
        <x:v>https://v5ma.github.io/theology-wiki/san-reader.html?page=gnostic-christianity-and-jesus</x:v>
      </x:c>
    </x:row>
    <x:row r="139" ht="56" customHeight="1">
      <x:c r="A139" s="23" t="str">
        <x:v>Gnostic Church Psychedelic Legalities</x:v>
      </x:c>
      <x:c r="B139" s="23" t="str">
        <x:v>gpt2026dragon923_Gnostic_Church_Psychedelic_Legalities.txt</x:v>
      </x:c>
      <x:c r="C139" s="23" t="str">
        <x:v>2025-02-11</x:v>
      </x:c>
      <x:c r="D139" s="23" t="n">
        <x:v>7</x:v>
      </x:c>
      <x:c r="E139" s="23" t="str"/>
      <x:c r="F139" s="23" t="n">
        <x:f>IF(E139="",0,LEN(E139)-LEN(SUBSTITUTE(E139,CHAR(10),""))+1)</x:f>
        <x:v>0</x:v>
      </x:c>
      <x:c r="G139" s="23" t="str"/>
      <x:c r="H139" s="23" t="n">
        <x:f>IF(G139="",0,LEN(G139&amp;"")-LEN(SUBSTITUTE(G139&amp;"",CHAR(10),""))+1)</x:f>
        <x:v>0</x:v>
      </x:c>
      <x:c r="I139" s="23" t="str"/>
      <x:c r="J139" s="23" t="str">
        <x:v>No developed-article link recorded</x:v>
      </x:c>
      <x:c r="K139" s="23" t="str">
        <x:v>Not inferred</x:v>
      </x:c>
      <x:c r="L139" s="34" t="str">
        <x:v>c683e33ec81bb674fe893c7064fb265ab6348f8551a4e751a48ae5920970ba84</x:v>
      </x:c>
      <x:c r="M139" s="32" t="n">
        <x:v>13849</x:v>
      </x:c>
      <x:c r="N139" s="23" t="str">
        <x:v>https://v5ma.github.io/theology-wiki/san-reader.html?page=gnostic-church-psychedelic-legalities</x:v>
      </x:c>
    </x:row>
    <x:row r="140" ht="56" customHeight="1">
      <x:c r="A140" s="23" t="str">
        <x:v>Gnostic Divinity and Dualism</x:v>
      </x:c>
      <x:c r="B140" s="23" t="str">
        <x:v>gpt2026dragon907_Gnostic_Divinity_and_Dualism.txt</x:v>
      </x:c>
      <x:c r="C140" s="23" t="str">
        <x:v>2025-02-09</x:v>
      </x:c>
      <x:c r="D140" s="23" t="n">
        <x:v>2</x:v>
      </x:c>
      <x:c r="E140" s="23" t="str"/>
      <x:c r="F140" s="23" t="n">
        <x:f>IF(E140="",0,LEN(E140)-LEN(SUBSTITUTE(E140,CHAR(10),""))+1)</x:f>
        <x:v>0</x:v>
      </x:c>
      <x:c r="G140" s="23" t="str"/>
      <x:c r="H140" s="23" t="n">
        <x:f>IF(G140="",0,LEN(G140&amp;"")-LEN(SUBSTITUTE(G140&amp;"",CHAR(10),""))+1)</x:f>
        <x:v>0</x:v>
      </x:c>
      <x:c r="I140" s="23" t="str"/>
      <x:c r="J140" s="23" t="str">
        <x:v>No developed-article link recorded</x:v>
      </x:c>
      <x:c r="K140" s="23" t="str">
        <x:v>Not inferred</x:v>
      </x:c>
      <x:c r="L140" s="34" t="str">
        <x:v>54568f6ddbfbe10340b9770a06092cf6db3bc2fbd7b9243dc8cd6238e57de0c1</x:v>
      </x:c>
      <x:c r="M140" s="32" t="n">
        <x:v>5268</x:v>
      </x:c>
      <x:c r="N140" s="23" t="str">
        <x:v>https://v5ma.github.io/theology-wiki/san-reader.html?page=gnostic-divinity-and-dualism</x:v>
      </x:c>
    </x:row>
    <x:row r="141" ht="56" customHeight="1">
      <x:c r="A141" s="23" t="str">
        <x:v>Gnostic end-times figures</x:v>
      </x:c>
      <x:c r="B141" s="23" t="str">
        <x:v>gpt2026dragon2721_Gnostic_end-times_figures.txt</x:v>
      </x:c>
      <x:c r="C141" s="23" t="str">
        <x:v>2025-11-03</x:v>
      </x:c>
      <x:c r="D141" s="23" t="n">
        <x:v>4</x:v>
      </x:c>
      <x:c r="E141" s="23" t="str"/>
      <x:c r="F141" s="23" t="n">
        <x:f>IF(E141="",0,LEN(E141)-LEN(SUBSTITUTE(E141,CHAR(10),""))+1)</x:f>
        <x:v>0</x:v>
      </x:c>
      <x:c r="G141" s="23" t="str"/>
      <x:c r="H141" s="23" t="n">
        <x:f>IF(G141="",0,LEN(G141&amp;"")-LEN(SUBSTITUTE(G141&amp;"",CHAR(10),""))+1)</x:f>
        <x:v>0</x:v>
      </x:c>
      <x:c r="I141" s="23" t="str"/>
      <x:c r="J141" s="23" t="str">
        <x:v>No developed-article link recorded</x:v>
      </x:c>
      <x:c r="K141" s="23" t="str">
        <x:v>Not inferred</x:v>
      </x:c>
      <x:c r="L141" s="34" t="str">
        <x:v>441829ba65218e278bcdd428fba42b2cab0d0cb2a87a382c5a608aa2bc4b3c4e</x:v>
      </x:c>
      <x:c r="M141" s="32" t="n">
        <x:v>10712</x:v>
      </x:c>
      <x:c r="N141" s="23" t="str">
        <x:v>https://v5ma.github.io/theology-wiki/san-reader.html?page=gnostic-end-times-figures</x:v>
      </x:c>
    </x:row>
    <x:row r="142" ht="56" customHeight="1">
      <x:c r="A142" s="23" t="str">
        <x:v>Gnostic God Comparisons</x:v>
      </x:c>
      <x:c r="B142" s="23" t="str">
        <x:v>gpt2026dragon1429_Gnostic_God_Comparisons.txt</x:v>
      </x:c>
      <x:c r="C142" s="23" t="str">
        <x:v>2025-05-04</x:v>
      </x:c>
      <x:c r="D142" s="23" t="n">
        <x:v>14</x:v>
      </x:c>
      <x:c r="E142" s="23" t="str"/>
      <x:c r="F142" s="23" t="n">
        <x:f>IF(E142="",0,LEN(E142)-LEN(SUBSTITUTE(E142,CHAR(10),""))+1)</x:f>
        <x:v>0</x:v>
      </x:c>
      <x:c r="G142" s="23" t="str"/>
      <x:c r="H142" s="23" t="n">
        <x:f>IF(G142="",0,LEN(G142&amp;"")-LEN(SUBSTITUTE(G142&amp;"",CHAR(10),""))+1)</x:f>
        <x:v>0</x:v>
      </x:c>
      <x:c r="I142" s="23" t="str"/>
      <x:c r="J142" s="23" t="str">
        <x:v>No developed-article link recorded</x:v>
      </x:c>
      <x:c r="K142" s="23" t="str">
        <x:v>Not inferred</x:v>
      </x:c>
      <x:c r="L142" s="34" t="str">
        <x:v>639f851486ca1d7b1690215c49bb21d5ec36c6c1e8fdc4962ef7a62991ecb235</x:v>
      </x:c>
      <x:c r="M142" s="32" t="n">
        <x:v>29841</x:v>
      </x:c>
      <x:c r="N142" s="23" t="str">
        <x:v>https://v5ma.github.io/theology-wiki/san-reader.html?page=gnostic-god-comparisons</x:v>
      </x:c>
    </x:row>
    <x:row r="143" ht="56" customHeight="1">
      <x:c r="A143" s="23" t="str">
        <x:v>Gnostic Gospels and Vocabulary</x:v>
      </x:c>
      <x:c r="B143" s="23" t="str">
        <x:v>gpt2026dragon1521_Gnostic_Gospels_and_Vocabulary.txt</x:v>
      </x:c>
      <x:c r="C143" s="23" t="str">
        <x:v>2025-05-18</x:v>
      </x:c>
      <x:c r="D143" s="23" t="n">
        <x:v>61</x:v>
      </x:c>
      <x:c r="E143" s="23" t="str"/>
      <x:c r="F143" s="23" t="n">
        <x:f>IF(E143="",0,LEN(E143)-LEN(SUBSTITUTE(E143,CHAR(10),""))+1)</x:f>
        <x:v>0</x:v>
      </x:c>
      <x:c r="G143" s="23" t="str"/>
      <x:c r="H143" s="23" t="n">
        <x:f>IF(G143="",0,LEN(G143&amp;"")-LEN(SUBSTITUTE(G143&amp;"",CHAR(10),""))+1)</x:f>
        <x:v>0</x:v>
      </x:c>
      <x:c r="I143" s="23" t="str"/>
      <x:c r="J143" s="23" t="str">
        <x:v>No developed-article link recorded</x:v>
      </x:c>
      <x:c r="K143" s="23" t="str">
        <x:v>Not inferred</x:v>
      </x:c>
      <x:c r="L143" s="34" t="str">
        <x:v>157dd393c770061006b3959e5865174918215e7aa4b6976e180a75d0604c17b9</x:v>
      </x:c>
      <x:c r="M143" s="32" t="n">
        <x:v>50371</x:v>
      </x:c>
      <x:c r="N143" s="23" t="str">
        <x:v>https://v5ma.github.io/theology-wiki/san-reader.html?page=gnostic-gospels-and-vocabulary</x:v>
      </x:c>
    </x:row>
    <x:row r="144" ht="56" customHeight="1">
      <x:c r="A144" s="23" t="str">
        <x:v>Gnostic Gospels in Film</x:v>
      </x:c>
      <x:c r="B144" s="23" t="str">
        <x:v>gpt2026dragon1601_Gnostic_Gospels_in_Film.txt</x:v>
      </x:c>
      <x:c r="C144" s="23" t="str">
        <x:v>2025-06-01</x:v>
      </x:c>
      <x:c r="D144" s="23" t="n">
        <x:v>4</x:v>
      </x:c>
      <x:c r="E144" s="23" t="str"/>
      <x:c r="F144" s="23" t="n">
        <x:f>IF(E144="",0,LEN(E144)-LEN(SUBSTITUTE(E144,CHAR(10),""))+1)</x:f>
        <x:v>0</x:v>
      </x:c>
      <x:c r="G144" s="23" t="str"/>
      <x:c r="H144" s="23" t="n">
        <x:f>IF(G144="",0,LEN(G144&amp;"")-LEN(SUBSTITUTE(G144&amp;"",CHAR(10),""))+1)</x:f>
        <x:v>0</x:v>
      </x:c>
      <x:c r="I144" s="23" t="str"/>
      <x:c r="J144" s="23" t="str">
        <x:v>No developed-article link recorded</x:v>
      </x:c>
      <x:c r="K144" s="23" t="str">
        <x:v>Not inferred</x:v>
      </x:c>
      <x:c r="L144" s="34" t="str">
        <x:v>50761b6d23f5a497d5f8df486bd625dd4f51d34b650439bbb8eb15c17397dcaf</x:v>
      </x:c>
      <x:c r="M144" s="32" t="n">
        <x:v>5699</x:v>
      </x:c>
      <x:c r="N144" s="23" t="str">
        <x:v>https://v5ma.github.io/theology-wiki/san-reader.html?page=gnostic-gospels-in-film</x:v>
      </x:c>
    </x:row>
    <x:row r="145" ht="56" customHeight="1">
      <x:c r="A145" s="23" t="str">
        <x:v>Gnostic Jesus and Judas</x:v>
      </x:c>
      <x:c r="B145" s="23" t="str">
        <x:v>gpt2026dragon856_Gnostic_Jesus_and_Judas.txt</x:v>
      </x:c>
      <x:c r="C145" s="23" t="str">
        <x:v>2025-02-04</x:v>
      </x:c>
      <x:c r="D145" s="23" t="n">
        <x:v>4</x:v>
      </x:c>
      <x:c r="E145" s="23" t="str"/>
      <x:c r="F145" s="23" t="n">
        <x:f>IF(E145="",0,LEN(E145)-LEN(SUBSTITUTE(E145,CHAR(10),""))+1)</x:f>
        <x:v>0</x:v>
      </x:c>
      <x:c r="G145" s="23" t="str"/>
      <x:c r="H145" s="23" t="n">
        <x:f>IF(G145="",0,LEN(G145&amp;"")-LEN(SUBSTITUTE(G145&amp;"",CHAR(10),""))+1)</x:f>
        <x:v>0</x:v>
      </x:c>
      <x:c r="I145" s="23" t="str"/>
      <x:c r="J145" s="23" t="str">
        <x:v>No developed-article link recorded</x:v>
      </x:c>
      <x:c r="K145" s="23" t="str">
        <x:v>Not inferred</x:v>
      </x:c>
      <x:c r="L145" s="34" t="str">
        <x:v>225443ff08e1118bd0eac76259b472f439289d7221f3bf9737ffb8461cb025e1</x:v>
      </x:c>
      <x:c r="M145" s="32" t="n">
        <x:v>10369</x:v>
      </x:c>
      <x:c r="N145" s="23" t="str">
        <x:v>https://v5ma.github.io/theology-wiki/san-reader.html?page=gnostic-jesus-and-judas</x:v>
      </x:c>
    </x:row>
    <x:row r="146" ht="56" customHeight="1">
      <x:c r="A146" s="23" t="str">
        <x:v>Gnostic Jesus and Logos</x:v>
      </x:c>
      <x:c r="B146" s="23" t="str">
        <x:v>gpt2026dragon1315_Gnostic_Jesus_and_Logos.txt</x:v>
      </x:c>
      <x:c r="C146" s="23" t="str">
        <x:v>2025-04-18</x:v>
      </x:c>
      <x:c r="D146" s="23" t="n">
        <x:v>21</x:v>
      </x:c>
      <x:c r="E146" s="23" t="str"/>
      <x:c r="F146" s="23" t="n">
        <x:f>IF(E146="",0,LEN(E146)-LEN(SUBSTITUTE(E146,CHAR(10),""))+1)</x:f>
        <x:v>0</x:v>
      </x:c>
      <x:c r="G146" s="23" t="str"/>
      <x:c r="H146" s="23" t="n">
        <x:f>IF(G146="",0,LEN(G146&amp;"")-LEN(SUBSTITUTE(G146&amp;"",CHAR(10),""))+1)</x:f>
        <x:v>0</x:v>
      </x:c>
      <x:c r="I146" s="23" t="str"/>
      <x:c r="J146" s="23" t="str">
        <x:v>No developed-article link recorded</x:v>
      </x:c>
      <x:c r="K146" s="23" t="str">
        <x:v>Not inferred</x:v>
      </x:c>
      <x:c r="L146" s="34" t="str">
        <x:v>4c5dfeb4d5f487cb2b65f4ea47250e7f16405724687698f770ebbce1db89b613</x:v>
      </x:c>
      <x:c r="M146" s="32" t="n">
        <x:v>21438</x:v>
      </x:c>
      <x:c r="N146" s="23" t="str">
        <x:v>https://v5ma.github.io/theology-wiki/san-reader.html?page=gnostic-jesus-and-logos</x:v>
      </x:c>
    </x:row>
    <x:row r="147" ht="56" customHeight="1">
      <x:c r="A147" s="23" t="str">
        <x:v>Gnostic Teachings and Clarity</x:v>
      </x:c>
      <x:c r="B147" s="23" t="str">
        <x:v>gpt2026dragon1068_Gnostic_Teachings_and_Clarity.txt</x:v>
      </x:c>
      <x:c r="C147" s="23" t="str">
        <x:v>2025-03-06</x:v>
      </x:c>
      <x:c r="D147" s="23" t="n">
        <x:v>7</x:v>
      </x:c>
      <x:c r="E147" s="23" t="str">
        <x:v>kenite-hypothesis-and-yahweh-origins</x:v>
      </x:c>
      <x:c r="F147" s="23" t="n">
        <x:f>IF(E147="",0,LEN(E147)-LEN(SUBSTITUTE(E147,CHAR(10),""))+1)</x:f>
        <x:v>1</x:v>
      </x:c>
      <x:c r="G147" s="23" t="str"/>
      <x:c r="H147" s="23" t="n">
        <x:f>IF(G147="",0,LEN(G147&amp;"")-LEN(SUBSTITUTE(G147&amp;"",CHAR(10),""))+1)</x:f>
        <x:v>0</x:v>
      </x:c>
      <x:c r="I147" s="23" t="str">
        <x:v>names</x:v>
      </x:c>
      <x:c r="J147" s="23" t="str">
        <x:v>Linked to developed article</x:v>
      </x:c>
      <x:c r="K147" s="23" t="str">
        <x:v>Not inferred</x:v>
      </x:c>
      <x:c r="L147" s="34" t="str">
        <x:v>8ef2b81a0bc76a10fe5c1888c1f5674d7d7370fddd6c74e24eac72b2c0e31db0</x:v>
      </x:c>
      <x:c r="M147" s="32" t="n">
        <x:v>25583</x:v>
      </x:c>
      <x:c r="N147" s="23" t="str">
        <x:v>https://v5ma.github.io/theology-wiki/san-reader.html?page=gnostic-teachings-and-clarity</x:v>
      </x:c>
    </x:row>
    <x:row r="148" ht="56" customHeight="1">
      <x:c r="A148" s="23" t="str">
        <x:v>Gnostic Texts and Christianity</x:v>
      </x:c>
      <x:c r="B148" s="23" t="str">
        <x:v>gpt2026dragon1603_Gnostic_Texts_and_Christianity.txt</x:v>
      </x:c>
      <x:c r="C148" s="23" t="str">
        <x:v>2025-06-01</x:v>
      </x:c>
      <x:c r="D148" s="23" t="n">
        <x:v>2</x:v>
      </x:c>
      <x:c r="E148" s="23" t="str"/>
      <x:c r="F148" s="23" t="n">
        <x:f>IF(E148="",0,LEN(E148)-LEN(SUBSTITUTE(E148,CHAR(10),""))+1)</x:f>
        <x:v>0</x:v>
      </x:c>
      <x:c r="G148" s="23" t="str"/>
      <x:c r="H148" s="23" t="n">
        <x:f>IF(G148="",0,LEN(G148&amp;"")-LEN(SUBSTITUTE(G148&amp;"",CHAR(10),""))+1)</x:f>
        <x:v>0</x:v>
      </x:c>
      <x:c r="I148" s="23" t="str"/>
      <x:c r="J148" s="23" t="str">
        <x:v>No developed-article link recorded</x:v>
      </x:c>
      <x:c r="K148" s="23" t="str">
        <x:v>Not inferred</x:v>
      </x:c>
      <x:c r="L148" s="34" t="str">
        <x:v>9648b91bf8c5f890bff6bdb1d3515d85507a919e309dad337c8e17c7fdc97f7f</x:v>
      </x:c>
      <x:c r="M148" s="32" t="n">
        <x:v>2619</x:v>
      </x:c>
      <x:c r="N148" s="23" t="str">
        <x:v>https://v5ma.github.io/theology-wiki/san-reader.html?page=gnostic-texts-and-christianity</x:v>
      </x:c>
    </x:row>
    <x:row r="149" ht="56" customHeight="1">
      <x:c r="A149" s="23" t="str">
        <x:v>Gnostic Texts and Paul</x:v>
      </x:c>
      <x:c r="B149" s="23" t="str">
        <x:v>gpt2026dragon1898_Gnostic_Texts_and_Paul.txt</x:v>
      </x:c>
      <x:c r="C149" s="23" t="str">
        <x:v>2025-07-15</x:v>
      </x:c>
      <x:c r="D149" s="23" t="n">
        <x:v>2</x:v>
      </x:c>
      <x:c r="E149" s="23" t="str"/>
      <x:c r="F149" s="23" t="n">
        <x:f>IF(E149="",0,LEN(E149)-LEN(SUBSTITUTE(E149,CHAR(10),""))+1)</x:f>
        <x:v>0</x:v>
      </x:c>
      <x:c r="G149" s="23" t="str"/>
      <x:c r="H149" s="23" t="n">
        <x:f>IF(G149="",0,LEN(G149&amp;"")-LEN(SUBSTITUTE(G149&amp;"",CHAR(10),""))+1)</x:f>
        <x:v>0</x:v>
      </x:c>
      <x:c r="I149" s="23" t="str"/>
      <x:c r="J149" s="23" t="str">
        <x:v>No developed-article link recorded</x:v>
      </x:c>
      <x:c r="K149" s="23" t="str">
        <x:v>Not inferred</x:v>
      </x:c>
      <x:c r="L149" s="34" t="str">
        <x:v>d9f15ad8c57b6f3d80b80c49d0d1cc3f55f37ea726f26b51623ad818af513abc</x:v>
      </x:c>
      <x:c r="M149" s="32" t="n">
        <x:v>4322</x:v>
      </x:c>
      <x:c r="N149" s="23" t="str">
        <x:v>https://v5ma.github.io/theology-wiki/san-reader.html?page=gnostic-texts-and-paul</x:v>
      </x:c>
    </x:row>
    <x:row r="150" ht="56" customHeight="1">
      <x:c r="A150" s="23" t="str">
        <x:v>Gnosticism and Evil Creator</x:v>
      </x:c>
      <x:c r="B150" s="23" t="str">
        <x:v>gpt2026dragon1098_Gnosticism_and_Evil_Creator.txt</x:v>
      </x:c>
      <x:c r="C150" s="23" t="str">
        <x:v>2025-03-14</x:v>
      </x:c>
      <x:c r="D150" s="23" t="n">
        <x:v>24</x:v>
      </x:c>
      <x:c r="E150" s="23" t="str"/>
      <x:c r="F150" s="23" t="n">
        <x:f>IF(E150="",0,LEN(E150)-LEN(SUBSTITUTE(E150,CHAR(10),""))+1)</x:f>
        <x:v>0</x:v>
      </x:c>
      <x:c r="G150" s="23" t="str"/>
      <x:c r="H150" s="23" t="n">
        <x:f>IF(G150="",0,LEN(G150&amp;"")-LEN(SUBSTITUTE(G150&amp;"",CHAR(10),""))+1)</x:f>
        <x:v>0</x:v>
      </x:c>
      <x:c r="I150" s="23" t="str"/>
      <x:c r="J150" s="23" t="str">
        <x:v>No developed-article link recorded</x:v>
      </x:c>
      <x:c r="K150" s="23" t="str">
        <x:v>Not inferred</x:v>
      </x:c>
      <x:c r="L150" s="34" t="str">
        <x:v>51579870ab46ca2ca631b91a4d426fdab9cc4707fef4471e43bf4b463ab60628</x:v>
      </x:c>
      <x:c r="M150" s="32" t="n">
        <x:v>80452</x:v>
      </x:c>
      <x:c r="N150" s="23" t="str">
        <x:v>https://v5ma.github.io/theology-wiki/san-reader.html?page=gnosticism-and-evil-creator</x:v>
      </x:c>
    </x:row>
    <x:row r="151" ht="56" customHeight="1">
      <x:c r="A151" s="23" t="str">
        <x:v>Gnosticism and Original Sin</x:v>
      </x:c>
      <x:c r="B151" s="23" t="str">
        <x:v>gpt2026dragon1498_Gnosticism_and_Original_Sin.txt</x:v>
      </x:c>
      <x:c r="C151" s="23" t="str">
        <x:v>2025-05-14</x:v>
      </x:c>
      <x:c r="D151" s="23" t="n">
        <x:v>2</x:v>
      </x:c>
      <x:c r="E151" s="23" t="str"/>
      <x:c r="F151" s="23" t="n">
        <x:f>IF(E151="",0,LEN(E151)-LEN(SUBSTITUTE(E151,CHAR(10),""))+1)</x:f>
        <x:v>0</x:v>
      </x:c>
      <x:c r="G151" s="23" t="str"/>
      <x:c r="H151" s="23" t="n">
        <x:f>IF(G151="",0,LEN(G151&amp;"")-LEN(SUBSTITUTE(G151&amp;"",CHAR(10),""))+1)</x:f>
        <x:v>0</x:v>
      </x:c>
      <x:c r="I151" s="23" t="str"/>
      <x:c r="J151" s="23" t="str">
        <x:v>No developed-article link recorded</x:v>
      </x:c>
      <x:c r="K151" s="23" t="str">
        <x:v>Not inferred</x:v>
      </x:c>
      <x:c r="L151" s="34" t="str">
        <x:v>bf9de704e5878c194a9a215f8b4de292f5c8d23985682dbff097c439f5608a35</x:v>
      </x:c>
      <x:c r="M151" s="32" t="n">
        <x:v>2904</x:v>
      </x:c>
      <x:c r="N151" s="23" t="str">
        <x:v>https://v5ma.github.io/theology-wiki/san-reader.html?page=gnosticism-and-original-sin</x:v>
      </x:c>
    </x:row>
    <x:row r="152" ht="56" customHeight="1">
      <x:c r="A152" s="23" t="str">
        <x:v>Gnosticism and Paul's Letters</x:v>
      </x:c>
      <x:c r="B152" s="23" t="str">
        <x:v>gpt2026dragon1560_Gnosticism_and_Paul_s_Letters.txt</x:v>
      </x:c>
      <x:c r="C152" s="23" t="str">
        <x:v>2025-05-24</x:v>
      </x:c>
      <x:c r="D152" s="23" t="n">
        <x:v>4</x:v>
      </x:c>
      <x:c r="E152" s="23" t="str"/>
      <x:c r="F152" s="23" t="n">
        <x:f>IF(E152="",0,LEN(E152)-LEN(SUBSTITUTE(E152,CHAR(10),""))+1)</x:f>
        <x:v>0</x:v>
      </x:c>
      <x:c r="G152" s="23" t="str"/>
      <x:c r="H152" s="23" t="n">
        <x:f>IF(G152="",0,LEN(G152&amp;"")-LEN(SUBSTITUTE(G152&amp;"",CHAR(10),""))+1)</x:f>
        <x:v>0</x:v>
      </x:c>
      <x:c r="I152" s="23" t="str"/>
      <x:c r="J152" s="23" t="str">
        <x:v>No developed-article link recorded</x:v>
      </x:c>
      <x:c r="K152" s="23" t="str">
        <x:v>Not inferred</x:v>
      </x:c>
      <x:c r="L152" s="34" t="str">
        <x:v>4bf93a025d6f1614298023d6137f8cd09ad0b228a94001ffe7c1dc06a14e4d50</x:v>
      </x:c>
      <x:c r="M152" s="32" t="n">
        <x:v>6494</x:v>
      </x:c>
      <x:c r="N152" s="23" t="str">
        <x:v>https://v5ma.github.io/theology-wiki/san-reader.html?page=gnosticism-and-paul-s-letters</x:v>
      </x:c>
    </x:row>
    <x:row r="153" ht="56" customHeight="1">
      <x:c r="A153" s="23" t="str">
        <x:v>Gnosticism in Catholicism</x:v>
      </x:c>
      <x:c r="B153" s="23" t="str">
        <x:v>gpt2026dragon1303_Gnosticism_in_Catholicism.txt</x:v>
      </x:c>
      <x:c r="C153" s="23" t="str">
        <x:v>2025-04-14</x:v>
      </x:c>
      <x:c r="D153" s="23" t="n">
        <x:v>7</x:v>
      </x:c>
      <x:c r="E153" s="23" t="str"/>
      <x:c r="F153" s="23" t="n">
        <x:f>IF(E153="",0,LEN(E153)-LEN(SUBSTITUTE(E153,CHAR(10),""))+1)</x:f>
        <x:v>0</x:v>
      </x:c>
      <x:c r="G153" s="23" t="str"/>
      <x:c r="H153" s="23" t="n">
        <x:f>IF(G153="",0,LEN(G153&amp;"")-LEN(SUBSTITUTE(G153&amp;"",CHAR(10),""))+1)</x:f>
        <x:v>0</x:v>
      </x:c>
      <x:c r="I153" s="23" t="str"/>
      <x:c r="J153" s="23" t="str">
        <x:v>No developed-article link recorded</x:v>
      </x:c>
      <x:c r="K153" s="23" t="str">
        <x:v>Not inferred</x:v>
      </x:c>
      <x:c r="L153" s="34" t="str">
        <x:v>a393fb47b577b592cee144dfb597134eb21c8335565442ef5390b01637422b5d</x:v>
      </x:c>
      <x:c r="M153" s="32" t="n">
        <x:v>28076</x:v>
      </x:c>
      <x:c r="N153" s="23" t="str">
        <x:v>https://v5ma.github.io/theology-wiki/san-reader.html?page=gnosticism-in-catholicism</x:v>
      </x:c>
    </x:row>
    <x:row r="154" ht="56" customHeight="1">
      <x:c r="A154" s="23" t="str">
        <x:v>God and Sea Monsters</x:v>
      </x:c>
      <x:c r="B154" s="23" t="str">
        <x:v>gpt2026dragon1093_God_and_Sea_Monsters.txt</x:v>
      </x:c>
      <x:c r="C154" s="23" t="str">
        <x:v>2025-03-13</x:v>
      </x:c>
      <x:c r="D154" s="23" t="n">
        <x:v>17</x:v>
      </x:c>
      <x:c r="E154" s="23" t="str"/>
      <x:c r="F154" s="23" t="n">
        <x:f>IF(E154="",0,LEN(E154)-LEN(SUBSTITUTE(E154,CHAR(10),""))+1)</x:f>
        <x:v>0</x:v>
      </x:c>
      <x:c r="G154" s="23" t="str"/>
      <x:c r="H154" s="23" t="n">
        <x:f>IF(G154="",0,LEN(G154&amp;"")-LEN(SUBSTITUTE(G154&amp;"",CHAR(10),""))+1)</x:f>
        <x:v>0</x:v>
      </x:c>
      <x:c r="I154" s="23" t="str"/>
      <x:c r="J154" s="23" t="str">
        <x:v>No developed-article link recorded</x:v>
      </x:c>
      <x:c r="K154" s="23" t="str">
        <x:v>Not inferred</x:v>
      </x:c>
      <x:c r="L154" s="34" t="str">
        <x:v>dfe272b01b6d781d14c90019272ad8599b2e1c743611e37079e52fc3d1dac8d2</x:v>
      </x:c>
      <x:c r="M154" s="32" t="n">
        <x:v>28741</x:v>
      </x:c>
      <x:c r="N154" s="23" t="str">
        <x:v>https://v5ma.github.io/theology-wiki/san-reader.html?page=god-and-sea-monsters</x:v>
      </x:c>
    </x:row>
    <x:row r="155" ht="56" customHeight="1">
      <x:c r="A155" s="23" t="str">
        <x:v>Gog Magog and Nations</x:v>
      </x:c>
      <x:c r="B155" s="23" t="str">
        <x:v>gpt2026dragon3142_Gog_Magog_and_Nations.txt</x:v>
      </x:c>
      <x:c r="C155" s="23" t="str">
        <x:v>2026-03-08</x:v>
      </x:c>
      <x:c r="D155" s="23" t="n">
        <x:v>34</x:v>
      </x:c>
      <x:c r="E155" s="23" t="str"/>
      <x:c r="F155" s="23" t="n">
        <x:f>IF(E155="",0,LEN(E155)-LEN(SUBSTITUTE(E155,CHAR(10),""))+1)</x:f>
        <x:v>0</x:v>
      </x:c>
      <x:c r="G155" s="23" t="str"/>
      <x:c r="H155" s="23" t="n">
        <x:f>IF(G155="",0,LEN(G155&amp;"")-LEN(SUBSTITUTE(G155&amp;"",CHAR(10),""))+1)</x:f>
        <x:v>0</x:v>
      </x:c>
      <x:c r="I155" s="23" t="str"/>
      <x:c r="J155" s="23" t="str">
        <x:v>No developed-article link recorded</x:v>
      </x:c>
      <x:c r="K155" s="23" t="str">
        <x:v>Not inferred</x:v>
      </x:c>
      <x:c r="L155" s="34" t="str">
        <x:v>7bda52f7c890a9c878ad071a4c78501e82a967620273ccd9ed8efa95f204161b</x:v>
      </x:c>
      <x:c r="M155" s="32" t="n">
        <x:v>160973</x:v>
      </x:c>
      <x:c r="N155" s="23" t="str">
        <x:v>https://v5ma.github.io/theology-wiki/san-reader.html?page=gog-magog-and-nations</x:v>
      </x:c>
    </x:row>
    <x:row r="156" ht="56" customHeight="1">
      <x:c r="A156" s="23" t="str">
        <x:v>Gospel of Judas Overview</x:v>
      </x:c>
      <x:c r="B156" s="23" t="str">
        <x:v>gpt2026dragon861_Gospel_of_Judas_Overview.txt</x:v>
      </x:c>
      <x:c r="C156" s="23" t="str">
        <x:v>2025-02-04</x:v>
      </x:c>
      <x:c r="D156" s="23" t="n">
        <x:v>3</x:v>
      </x:c>
      <x:c r="E156" s="23" t="str"/>
      <x:c r="F156" s="23" t="n">
        <x:f>IF(E156="",0,LEN(E156)-LEN(SUBSTITUTE(E156,CHAR(10),""))+1)</x:f>
        <x:v>0</x:v>
      </x:c>
      <x:c r="G156" s="23" t="str"/>
      <x:c r="H156" s="23" t="n">
        <x:f>IF(G156="",0,LEN(G156&amp;"")-LEN(SUBSTITUTE(G156&amp;"",CHAR(10),""))+1)</x:f>
        <x:v>0</x:v>
      </x:c>
      <x:c r="I156" s="23" t="str"/>
      <x:c r="J156" s="23" t="str">
        <x:v>No developed-article link recorded</x:v>
      </x:c>
      <x:c r="K156" s="23" t="str">
        <x:v>Not inferred</x:v>
      </x:c>
      <x:c r="L156" s="34" t="str">
        <x:v>106d62b2391f24785425fddf3b6e0d22bdcb170682eb1431be2e520e344ed1d4</x:v>
      </x:c>
      <x:c r="M156" s="32" t="n">
        <x:v>6627</x:v>
      </x:c>
      <x:c r="N156" s="23" t="str">
        <x:v>https://v5ma.github.io/theology-wiki/san-reader.html?page=gospel-of-judas-overview</x:v>
      </x:c>
    </x:row>
    <x:row r="157" ht="56" customHeight="1">
      <x:c r="A157" s="23" t="str">
        <x:v>Greta Thunberg and Iran</x:v>
      </x:c>
      <x:c r="B157" s="23" t="str">
        <x:v>gpt2026dragon3155_Greta_Thunberg_and_Iran.txt</x:v>
      </x:c>
      <x:c r="C157" s="23" t="str">
        <x:v>2026-03-10</x:v>
      </x:c>
      <x:c r="D157" s="23" t="n">
        <x:v>6</x:v>
      </x:c>
      <x:c r="E157" s="23" t="str"/>
      <x:c r="F157" s="23" t="n">
        <x:f>IF(E157="",0,LEN(E157)-LEN(SUBSTITUTE(E157,CHAR(10),""))+1)</x:f>
        <x:v>0</x:v>
      </x:c>
      <x:c r="G157" s="23" t="str"/>
      <x:c r="H157" s="23" t="n">
        <x:f>IF(G157="",0,LEN(G157&amp;"")-LEN(SUBSTITUTE(G157&amp;"",CHAR(10),""))+1)</x:f>
        <x:v>0</x:v>
      </x:c>
      <x:c r="I157" s="23" t="str"/>
      <x:c r="J157" s="23" t="str">
        <x:v>No developed-article link recorded</x:v>
      </x:c>
      <x:c r="K157" s="23" t="str">
        <x:v>Not inferred</x:v>
      </x:c>
      <x:c r="L157" s="34" t="str">
        <x:v>beedf199af0639f975fbd4d132c5af4b2d10717dada882495fd07a6252379a22</x:v>
      </x:c>
      <x:c r="M157" s="32" t="n">
        <x:v>13254</x:v>
      </x:c>
      <x:c r="N157" s="23" t="str">
        <x:v>https://v5ma.github.io/theology-wiki/san-reader.html?page=greta-thunberg-and-iran</x:v>
      </x:c>
    </x:row>
    <x:row r="158" ht="56" customHeight="1">
      <x:c r="A158" s="23" t="str">
        <x:v>GSET verification and implications</x:v>
      </x:c>
      <x:c r="B158" s="23" t="str">
        <x:v>gpt2026dragon2377_GSET_verification_and_implications.txt</x:v>
      </x:c>
      <x:c r="C158" s="23" t="str">
        <x:v>2025-09-12</x:v>
      </x:c>
      <x:c r="D158" s="23" t="n">
        <x:v>3</x:v>
      </x:c>
      <x:c r="E158" s="23" t="str"/>
      <x:c r="F158" s="23" t="n">
        <x:f>IF(E158="",0,LEN(E158)-LEN(SUBSTITUTE(E158,CHAR(10),""))+1)</x:f>
        <x:v>0</x:v>
      </x:c>
      <x:c r="G158" s="23" t="str"/>
      <x:c r="H158" s="23" t="n">
        <x:f>IF(G158="",0,LEN(G158&amp;"")-LEN(SUBSTITUTE(G158&amp;"",CHAR(10),""))+1)</x:f>
        <x:v>0</x:v>
      </x:c>
      <x:c r="I158" s="23" t="str"/>
      <x:c r="J158" s="23" t="str">
        <x:v>No developed-article link recorded</x:v>
      </x:c>
      <x:c r="K158" s="23" t="str">
        <x:v>Not inferred</x:v>
      </x:c>
      <x:c r="L158" s="34" t="str">
        <x:v>a7fdea8bcb06d3e2c391ae94a745993c631e932791aca0153b3cf5cefa3d324f</x:v>
      </x:c>
      <x:c r="M158" s="32" t="n">
        <x:v>15426</x:v>
      </x:c>
      <x:c r="N158" s="23" t="str">
        <x:v>https://v5ma.github.io/theology-wiki/san-reader.html?page=gset-verification-and-implications</x:v>
      </x:c>
    </x:row>
    <x:row r="159" ht="56" customHeight="1">
      <x:c r="A159" s="23" t="str">
        <x:v>Hamas Propaganda and Hostages</x:v>
      </x:c>
      <x:c r="B159" s="23" t="str">
        <x:v>gpt2026dragon1501_Hamas_Propaganda_and_Hostages.txt</x:v>
      </x:c>
      <x:c r="C159" s="23" t="str">
        <x:v>2025-05-15</x:v>
      </x:c>
      <x:c r="D159" s="23" t="n">
        <x:v>6</x:v>
      </x:c>
      <x:c r="E159" s="23" t="str"/>
      <x:c r="F159" s="23" t="n">
        <x:f>IF(E159="",0,LEN(E159)-LEN(SUBSTITUTE(E159,CHAR(10),""))+1)</x:f>
        <x:v>0</x:v>
      </x:c>
      <x:c r="G159" s="23" t="str"/>
      <x:c r="H159" s="23" t="n">
        <x:f>IF(G159="",0,LEN(G159&amp;"")-LEN(SUBSTITUTE(G159&amp;"",CHAR(10),""))+1)</x:f>
        <x:v>0</x:v>
      </x:c>
      <x:c r="I159" s="23" t="str"/>
      <x:c r="J159" s="23" t="str">
        <x:v>No developed-article link recorded</x:v>
      </x:c>
      <x:c r="K159" s="23" t="str">
        <x:v>Not inferred</x:v>
      </x:c>
      <x:c r="L159" s="34" t="str">
        <x:v>7a51eea78ed7a2c9425df6903bffd45bdf059452438278203162973803cb5892</x:v>
      </x:c>
      <x:c r="M159" s="32" t="n">
        <x:v>7458</x:v>
      </x:c>
      <x:c r="N159" s="23" t="str">
        <x:v>https://v5ma.github.io/theology-wiki/san-reader.html?page=hamas-propaganda-and-hostages</x:v>
      </x:c>
    </x:row>
    <x:row r="160" ht="56" customHeight="1">
      <x:c r="A160" s="23" t="str">
        <x:v>Haramein Vortex Gravity Model</x:v>
      </x:c>
      <x:c r="B160" s="23" t="str">
        <x:v>gpt2026dragon964_Haramein_Vortex_Gravity_Model.txt</x:v>
      </x:c>
      <x:c r="C160" s="23" t="str">
        <x:v>2025-02-19</x:v>
      </x:c>
      <x:c r="D160" s="23" t="n">
        <x:v>13</x:v>
      </x:c>
      <x:c r="E160" s="23" t="str"/>
      <x:c r="F160" s="23" t="n">
        <x:f>IF(E160="",0,LEN(E160)-LEN(SUBSTITUTE(E160,CHAR(10),""))+1)</x:f>
        <x:v>0</x:v>
      </x:c>
      <x:c r="G160" s="23" t="str"/>
      <x:c r="H160" s="23" t="n">
        <x:f>IF(G160="",0,LEN(G160&amp;"")-LEN(SUBSTITUTE(G160&amp;"",CHAR(10),""))+1)</x:f>
        <x:v>0</x:v>
      </x:c>
      <x:c r="I160" s="23" t="str"/>
      <x:c r="J160" s="23" t="str">
        <x:v>No developed-article link recorded</x:v>
      </x:c>
      <x:c r="K160" s="23" t="str">
        <x:v>Not inferred</x:v>
      </x:c>
      <x:c r="L160" s="34" t="str">
        <x:v>87ce7b2a306c4078619d666191c3efb1eeba2bcdaa01bfe08d8f0c5fe0434507</x:v>
      </x:c>
      <x:c r="M160" s="32" t="n">
        <x:v>20796</x:v>
      </x:c>
      <x:c r="N160" s="23" t="str">
        <x:v>https://v5ma.github.io/theology-wiki/san-reader.html?page=haramein-vortex-gravity-model</x:v>
      </x:c>
    </x:row>
    <x:row r="161" ht="56" customHeight="1">
      <x:c r="A161" s="23" t="str">
        <x:v>Harari on Israel and Gaza</x:v>
      </x:c>
      <x:c r="B161" s="23" t="str">
        <x:v>gpt2026dragon2763_Harari_on_Israel_and_Gaza.txt</x:v>
      </x:c>
      <x:c r="C161" s="23" t="str">
        <x:v>2025-11-14</x:v>
      </x:c>
      <x:c r="D161" s="23" t="n">
        <x:v>7</x:v>
      </x:c>
      <x:c r="E161" s="23" t="str"/>
      <x:c r="F161" s="23" t="n">
        <x:f>IF(E161="",0,LEN(E161)-LEN(SUBSTITUTE(E161,CHAR(10),""))+1)</x:f>
        <x:v>0</x:v>
      </x:c>
      <x:c r="G161" s="23" t="str"/>
      <x:c r="H161" s="23" t="n">
        <x:f>IF(G161="",0,LEN(G161&amp;"")-LEN(SUBSTITUTE(G161&amp;"",CHAR(10),""))+1)</x:f>
        <x:v>0</x:v>
      </x:c>
      <x:c r="I161" s="23" t="str"/>
      <x:c r="J161" s="23" t="str">
        <x:v>No developed-article link recorded</x:v>
      </x:c>
      <x:c r="K161" s="23" t="str">
        <x:v>Not inferred</x:v>
      </x:c>
      <x:c r="L161" s="34" t="str">
        <x:v>f69febaf61406bfa4c385d14c73c8903360755974b98d68f61ea40e784a02dbc</x:v>
      </x:c>
      <x:c r="M161" s="32" t="n">
        <x:v>41840</x:v>
      </x:c>
      <x:c r="N161" s="23" t="str">
        <x:v>https://v5ma.github.io/theology-wiki/san-reader.html?page=harari-on-israel-and-gaza</x:v>
      </x:c>
    </x:row>
    <x:row r="162" ht="56" customHeight="1">
      <x:c r="A162" s="23" t="str">
        <x:v>Heavier than a Feather</x:v>
      </x:c>
      <x:c r="B162" s="23" t="str">
        <x:v>gpt2026dragon1707_Heavier_than_a_Feather.txt</x:v>
      </x:c>
      <x:c r="C162" s="23" t="str">
        <x:v>2025-06-19</x:v>
      </x:c>
      <x:c r="D162" s="23" t="n">
        <x:v>15</x:v>
      </x:c>
      <x:c r="E162" s="23" t="str"/>
      <x:c r="F162" s="23" t="n">
        <x:f>IF(E162="",0,LEN(E162)-LEN(SUBSTITUTE(E162,CHAR(10),""))+1)</x:f>
        <x:v>0</x:v>
      </x:c>
      <x:c r="G162" s="23" t="str"/>
      <x:c r="H162" s="23" t="n">
        <x:f>IF(G162="",0,LEN(G162&amp;"")-LEN(SUBSTITUTE(G162&amp;"",CHAR(10),""))+1)</x:f>
        <x:v>0</x:v>
      </x:c>
      <x:c r="I162" s="23" t="str"/>
      <x:c r="J162" s="23" t="str">
        <x:v>No developed-article link recorded</x:v>
      </x:c>
      <x:c r="K162" s="23" t="str">
        <x:v>Not inferred</x:v>
      </x:c>
      <x:c r="L162" s="34" t="str">
        <x:v>b005747c5aa95e3c6d299d71e7fab367b7c21fd4bcad69a15a19dbd62009e860</x:v>
      </x:c>
      <x:c r="M162" s="32" t="n">
        <x:v>8470</x:v>
      </x:c>
      <x:c r="N162" s="23" t="str">
        <x:v>https://v5ma.github.io/theology-wiki/san-reader.html?page=heavier-than-a-feather</x:v>
      </x:c>
    </x:row>
    <x:row r="163" ht="56" customHeight="1">
      <x:c r="A163" s="23" t="str">
        <x:v>Heisenberg VTT and SIT</x:v>
      </x:c>
      <x:c r="B163" s="23" t="str">
        <x:v>gpt2026dragon1260_Heisenberg_VTT_and_SIT.txt</x:v>
      </x:c>
      <x:c r="C163" s="23" t="str">
        <x:v>2025-04-05</x:v>
      </x:c>
      <x:c r="D163" s="23" t="n">
        <x:v>16</x:v>
      </x:c>
      <x:c r="E163" s="23" t="str"/>
      <x:c r="F163" s="23" t="n">
        <x:f>IF(E163="",0,LEN(E163)-LEN(SUBSTITUTE(E163,CHAR(10),""))+1)</x:f>
        <x:v>0</x:v>
      </x:c>
      <x:c r="G163" s="23" t="str"/>
      <x:c r="H163" s="23" t="n">
        <x:f>IF(G163="",0,LEN(G163&amp;"")-LEN(SUBSTITUTE(G163&amp;"",CHAR(10),""))+1)</x:f>
        <x:v>0</x:v>
      </x:c>
      <x:c r="I163" s="23" t="str"/>
      <x:c r="J163" s="23" t="str">
        <x:v>No developed-article link recorded</x:v>
      </x:c>
      <x:c r="K163" s="23" t="str">
        <x:v>Not inferred</x:v>
      </x:c>
      <x:c r="L163" s="34" t="str">
        <x:v>173c430b773777b13fd61efd81bbfa45b45095e0892156fbd5db28585c36a13e</x:v>
      </x:c>
      <x:c r="M163" s="32" t="n">
        <x:v>47448</x:v>
      </x:c>
      <x:c r="N163" s="23" t="str">
        <x:v>https://v5ma.github.io/theology-wiki/san-reader.html?page=heisenberg-vtt-and-sit</x:v>
      </x:c>
    </x:row>
    <x:row r="164" ht="56" customHeight="1">
      <x:c r="A164" s="23" t="str">
        <x:v>Hell Transformation and Metatron</x:v>
      </x:c>
      <x:c r="B164" s="23" t="str">
        <x:v>gpt2026dragon895_Hell_Transformation_and_Metatron.txt</x:v>
      </x:c>
      <x:c r="C164" s="23" t="str">
        <x:v>2025-02-07</x:v>
      </x:c>
      <x:c r="D164" s="23" t="n">
        <x:v>2</x:v>
      </x:c>
      <x:c r="E164" s="23" t="str"/>
      <x:c r="F164" s="23" t="n">
        <x:f>IF(E164="",0,LEN(E164)-LEN(SUBSTITUTE(E164,CHAR(10),""))+1)</x:f>
        <x:v>0</x:v>
      </x:c>
      <x:c r="G164" s="23" t="str"/>
      <x:c r="H164" s="23" t="n">
        <x:f>IF(G164="",0,LEN(G164&amp;"")-LEN(SUBSTITUTE(G164&amp;"",CHAR(10),""))+1)</x:f>
        <x:v>0</x:v>
      </x:c>
      <x:c r="I164" s="23" t="str"/>
      <x:c r="J164" s="23" t="str">
        <x:v>No developed-article link recorded</x:v>
      </x:c>
      <x:c r="K164" s="23" t="str">
        <x:v>Not inferred</x:v>
      </x:c>
      <x:c r="L164" s="34" t="str">
        <x:v>2f4028961d0bc9e6af59b479b2250ff797f012b218aa2436733bbcfc0220c685</x:v>
      </x:c>
      <x:c r="M164" s="32" t="n">
        <x:v>5440</x:v>
      </x:c>
      <x:c r="N164" s="23" t="str">
        <x:v>https://v5ma.github.io/theology-wiki/san-reader.html?page=hell-transformation-and-metatron</x:v>
      </x:c>
    </x:row>
    <x:row r="165" ht="56" customHeight="1">
      <x:c r="A165" s="23" t="str">
        <x:v>Henosis and Gnosticism Comparison</x:v>
      </x:c>
      <x:c r="B165" s="23" t="str">
        <x:v>gpt2026dragon1755_Henosis_and_Gnosticism_Comparison.txt</x:v>
      </x:c>
      <x:c r="C165" s="23" t="str">
        <x:v>2025-06-24</x:v>
      </x:c>
      <x:c r="D165" s="23" t="n">
        <x:v>10</x:v>
      </x:c>
      <x:c r="E165" s="23" t="str"/>
      <x:c r="F165" s="23" t="n">
        <x:f>IF(E165="",0,LEN(E165)-LEN(SUBSTITUTE(E165,CHAR(10),""))+1)</x:f>
        <x:v>0</x:v>
      </x:c>
      <x:c r="G165" s="23" t="str"/>
      <x:c r="H165" s="23" t="n">
        <x:f>IF(G165="",0,LEN(G165&amp;"")-LEN(SUBSTITUTE(G165&amp;"",CHAR(10),""))+1)</x:f>
        <x:v>0</x:v>
      </x:c>
      <x:c r="I165" s="23" t="str"/>
      <x:c r="J165" s="23" t="str">
        <x:v>No developed-article link recorded</x:v>
      </x:c>
      <x:c r="K165" s="23" t="str">
        <x:v>Not inferred</x:v>
      </x:c>
      <x:c r="L165" s="34" t="str">
        <x:v>2a7c5ab43a55641dd75f2296fcc1705b09d1e64d6361e718c849e4ddec06aa4a</x:v>
      </x:c>
      <x:c r="M165" s="32" t="n">
        <x:v>22436</x:v>
      </x:c>
      <x:c r="N165" s="23" t="str">
        <x:v>https://v5ma.github.io/theology-wiki/san-reader.html?page=henosis-and-gnosticism-comparison</x:v>
      </x:c>
    </x:row>
    <x:row r="166" ht="56" customHeight="1">
      <x:c r="A166" s="23" t="str">
        <x:v>Herod timeline clarification</x:v>
      </x:c>
      <x:c r="B166" s="23" t="str">
        <x:v>gpt2026dragon2462_Herod_timeline_clarification.txt</x:v>
      </x:c>
      <x:c r="C166" s="23" t="str">
        <x:v>2025-09-25</x:v>
      </x:c>
      <x:c r="D166" s="23" t="n">
        <x:v>25</x:v>
      </x:c>
      <x:c r="E166" s="23" t="str"/>
      <x:c r="F166" s="23" t="n">
        <x:f>IF(E166="",0,LEN(E166)-LEN(SUBSTITUTE(E166,CHAR(10),""))+1)</x:f>
        <x:v>0</x:v>
      </x:c>
      <x:c r="G166" s="23" t="str"/>
      <x:c r="H166" s="23" t="n">
        <x:f>IF(G166="",0,LEN(G166&amp;"")-LEN(SUBSTITUTE(G166&amp;"",CHAR(10),""))+1)</x:f>
        <x:v>0</x:v>
      </x:c>
      <x:c r="I166" s="23" t="str"/>
      <x:c r="J166" s="23" t="str">
        <x:v>No developed-article link recorded</x:v>
      </x:c>
      <x:c r="K166" s="23" t="str">
        <x:v>Not inferred</x:v>
      </x:c>
      <x:c r="L166" s="34" t="str">
        <x:v>85817a83a63b21fef295e822e257d1f9b1b084c183586283a3acb5f4caa67909</x:v>
      </x:c>
      <x:c r="M166" s="32" t="n">
        <x:v>495917</x:v>
      </x:c>
      <x:c r="N166" s="23" t="str">
        <x:v>https://v5ma.github.io/theology-wiki/san-reader.html?page=herod-timeline-clarification</x:v>
      </x:c>
    </x:row>
    <x:row r="167" ht="56" customHeight="1">
      <x:c r="A167" s="23" t="str">
        <x:v>Hogs and Authority Dynamics</x:v>
      </x:c>
      <x:c r="B167" s="23" t="str">
        <x:v>gpt2026dragon1701_Hogs_and_Authority_Dynamics.txt</x:v>
      </x:c>
      <x:c r="C167" s="23" t="str">
        <x:v>2025-06-18</x:v>
      </x:c>
      <x:c r="D167" s="23" t="n">
        <x:v>8</x:v>
      </x:c>
      <x:c r="E167" s="23" t="str"/>
      <x:c r="F167" s="23" t="n">
        <x:f>IF(E167="",0,LEN(E167)-LEN(SUBSTITUTE(E167,CHAR(10),""))+1)</x:f>
        <x:v>0</x:v>
      </x:c>
      <x:c r="G167" s="23" t="str"/>
      <x:c r="H167" s="23" t="n">
        <x:f>IF(G167="",0,LEN(G167&amp;"")-LEN(SUBSTITUTE(G167&amp;"",CHAR(10),""))+1)</x:f>
        <x:v>0</x:v>
      </x:c>
      <x:c r="I167" s="23" t="str"/>
      <x:c r="J167" s="23" t="str">
        <x:v>No developed-article link recorded</x:v>
      </x:c>
      <x:c r="K167" s="23" t="str">
        <x:v>Not inferred</x:v>
      </x:c>
      <x:c r="L167" s="34" t="str">
        <x:v>7d4517d861142d0b06e49e207b4ed4f9c6eed846bbf5bbe33dec5502fbc026d1</x:v>
      </x:c>
      <x:c r="M167" s="32" t="n">
        <x:v>10800</x:v>
      </x:c>
      <x:c r="N167" s="23" t="str">
        <x:v>https://v5ma.github.io/theology-wiki/san-reader.html?page=hogs-and-authority-dynamics</x:v>
      </x:c>
    </x:row>
    <x:row r="168" ht="56" customHeight="1">
      <x:c r="A168" s="23" t="str">
        <x:v>Horseman of Death Fate</x:v>
      </x:c>
      <x:c r="B168" s="23" t="str">
        <x:v>gpt2026dragon287_Horseman_of_Death_Fate.txt</x:v>
      </x:c>
      <x:c r="C168" s="23" t="str">
        <x:v>2024-10-23</x:v>
      </x:c>
      <x:c r="D168" s="23" t="n">
        <x:v>5</x:v>
      </x:c>
      <x:c r="E168" s="23" t="str"/>
      <x:c r="F168" s="23" t="n">
        <x:f>IF(E168="",0,LEN(E168)-LEN(SUBSTITUTE(E168,CHAR(10),""))+1)</x:f>
        <x:v>0</x:v>
      </x:c>
      <x:c r="G168" s="23" t="str"/>
      <x:c r="H168" s="23" t="n">
        <x:f>IF(G168="",0,LEN(G168&amp;"")-LEN(SUBSTITUTE(G168&amp;"",CHAR(10),""))+1)</x:f>
        <x:v>0</x:v>
      </x:c>
      <x:c r="I168" s="23" t="str"/>
      <x:c r="J168" s="23" t="str">
        <x:v>No developed-article link recorded</x:v>
      </x:c>
      <x:c r="K168" s="23" t="str">
        <x:v>Not inferred</x:v>
      </x:c>
      <x:c r="L168" s="34" t="str">
        <x:v>7a43f0026984d609b2474822bb44597142950bf3539c2000f5a3dbf69afc28ae</x:v>
      </x:c>
      <x:c r="M168" s="32" t="n">
        <x:v>3655</x:v>
      </x:c>
      <x:c r="N168" s="23" t="str">
        <x:v>https://v5ma.github.io/theology-wiki/san-reader.html?page=horseman-of-death-fate</x:v>
      </x:c>
    </x:row>
    <x:row r="169" ht="56" customHeight="1">
      <x:c r="A169" s="23" t="str">
        <x:v>Humanity's Need for God</x:v>
      </x:c>
      <x:c r="B169" s="23" t="str">
        <x:v>gpt2026dragon142_Humanity_s_Need_for_God.txt</x:v>
      </x:c>
      <x:c r="C169" s="23" t="str">
        <x:v>2024-09-09</x:v>
      </x:c>
      <x:c r="D169" s="23" t="n">
        <x:v>2</x:v>
      </x:c>
      <x:c r="E169" s="23" t="str"/>
      <x:c r="F169" s="23" t="n">
        <x:f>IF(E169="",0,LEN(E169)-LEN(SUBSTITUTE(E169,CHAR(10),""))+1)</x:f>
        <x:v>0</x:v>
      </x:c>
      <x:c r="G169" s="23" t="str"/>
      <x:c r="H169" s="23" t="n">
        <x:f>IF(G169="",0,LEN(G169&amp;"")-LEN(SUBSTITUTE(G169&amp;"",CHAR(10),""))+1)</x:f>
        <x:v>0</x:v>
      </x:c>
      <x:c r="I169" s="23" t="str"/>
      <x:c r="J169" s="23" t="str">
        <x:v>No developed-article link recorded</x:v>
      </x:c>
      <x:c r="K169" s="23" t="str">
        <x:v>Not inferred</x:v>
      </x:c>
      <x:c r="L169" s="34" t="str">
        <x:v>da9163a508efd4a6e83fcc8fd6350be58cfa7a3e51007d4c3dc6469dd831e810</x:v>
      </x:c>
      <x:c r="M169" s="32" t="n">
        <x:v>4487</x:v>
      </x:c>
      <x:c r="N169" s="23" t="str">
        <x:v>https://v5ma.github.io/theology-wiki/san-reader.html?page=humanity-s-need-for-god</x:v>
      </x:c>
    </x:row>
    <x:row r="170" ht="56" customHeight="1">
      <x:c r="A170" s="23" t="str">
        <x:v>Hyksos Expulsion Overview</x:v>
      </x:c>
      <x:c r="B170" s="23" t="str">
        <x:v>gpt2026dragon1102_Hyksos_Expulsion_Overview.txt</x:v>
      </x:c>
      <x:c r="C170" s="23" t="str">
        <x:v>2025-03-15</x:v>
      </x:c>
      <x:c r="D170" s="23" t="n">
        <x:v>12</x:v>
      </x:c>
      <x:c r="E170" s="23" t="str"/>
      <x:c r="F170" s="23" t="n">
        <x:f>IF(E170="",0,LEN(E170)-LEN(SUBSTITUTE(E170,CHAR(10),""))+1)</x:f>
        <x:v>0</x:v>
      </x:c>
      <x:c r="G170" s="23" t="str"/>
      <x:c r="H170" s="23" t="n">
        <x:f>IF(G170="",0,LEN(G170&amp;"")-LEN(SUBSTITUTE(G170&amp;"",CHAR(10),""))+1)</x:f>
        <x:v>0</x:v>
      </x:c>
      <x:c r="I170" s="23" t="str"/>
      <x:c r="J170" s="23" t="str">
        <x:v>No developed-article link recorded</x:v>
      </x:c>
      <x:c r="K170" s="23" t="str">
        <x:v>Not inferred</x:v>
      </x:c>
      <x:c r="L170" s="34" t="str">
        <x:v>1f096418238ef175f690806f84249a68b1cf33418eb3064140816e536e4a2eaf</x:v>
      </x:c>
      <x:c r="M170" s="32" t="n">
        <x:v>20201</x:v>
      </x:c>
      <x:c r="N170" s="23" t="str">
        <x:v>https://v5ma.github.io/theology-wiki/san-reader.html?page=hyksos-expulsion-overview</x:v>
      </x:c>
    </x:row>
    <x:row r="171" ht="56" customHeight="1">
      <x:c r="A171" s="23" t="str">
        <x:v>Hyperion Cantos summary</x:v>
      </x:c>
      <x:c r="B171" s="23" t="str">
        <x:v>gpt2026dragon2182_Hyperion_Cantos_summary.txt</x:v>
      </x:c>
      <x:c r="C171" s="23" t="str">
        <x:v>2025-08-24</x:v>
      </x:c>
      <x:c r="D171" s="23" t="n">
        <x:v>2</x:v>
      </x:c>
      <x:c r="E171" s="23" t="str"/>
      <x:c r="F171" s="23" t="n">
        <x:f>IF(E171="",0,LEN(E171)-LEN(SUBSTITUTE(E171,CHAR(10),""))+1)</x:f>
        <x:v>0</x:v>
      </x:c>
      <x:c r="G171" s="23" t="str"/>
      <x:c r="H171" s="23" t="n">
        <x:f>IF(G171="",0,LEN(G171&amp;"")-LEN(SUBSTITUTE(G171&amp;"",CHAR(10),""))+1)</x:f>
        <x:v>0</x:v>
      </x:c>
      <x:c r="I171" s="23" t="str"/>
      <x:c r="J171" s="23" t="str">
        <x:v>No developed-article link recorded</x:v>
      </x:c>
      <x:c r="K171" s="23" t="str">
        <x:v>Not inferred</x:v>
      </x:c>
      <x:c r="L171" s="34" t="str">
        <x:v>1c8e935118c3b73ec008f3f9f72b494cff229cfe364590ffc9b867dc700f3b4c</x:v>
      </x:c>
      <x:c r="M171" s="32" t="n">
        <x:v>4502</x:v>
      </x:c>
      <x:c r="N171" s="23" t="str">
        <x:v>https://v5ma.github.io/theology-wiki/san-reader.html?page=hyperion-cantos-summary</x:v>
      </x:c>
    </x:row>
    <x:row r="172" ht="56" customHeight="1">
      <x:c r="A172" s="23" t="str">
        <x:v>I commit my spirit</x:v>
      </x:c>
      <x:c r="B172" s="23" t="str">
        <x:v>gpt2026dragon1906_I_commit_my_spirit.txt</x:v>
      </x:c>
      <x:c r="C172" s="23" t="str">
        <x:v>2025-07-15</x:v>
      </x:c>
      <x:c r="D172" s="23" t="n">
        <x:v>18</x:v>
      </x:c>
      <x:c r="E172" s="23" t="str"/>
      <x:c r="F172" s="23" t="n">
        <x:f>IF(E172="",0,LEN(E172)-LEN(SUBSTITUTE(E172,CHAR(10),""))+1)</x:f>
        <x:v>0</x:v>
      </x:c>
      <x:c r="G172" s="23" t="str"/>
      <x:c r="H172" s="23" t="n">
        <x:f>IF(G172="",0,LEN(G172&amp;"")-LEN(SUBSTITUTE(G172&amp;"",CHAR(10),""))+1)</x:f>
        <x:v>0</x:v>
      </x:c>
      <x:c r="I172" s="23" t="str"/>
      <x:c r="J172" s="23" t="str">
        <x:v>No developed-article link recorded</x:v>
      </x:c>
      <x:c r="K172" s="23" t="str">
        <x:v>Not inferred</x:v>
      </x:c>
      <x:c r="L172" s="34" t="str">
        <x:v>a3c67067eefc8f563198fb2579eb564d549c8bf1432f9ff738cac9c67cd8df99</x:v>
      </x:c>
      <x:c r="M172" s="32" t="n">
        <x:v>24023</x:v>
      </x:c>
      <x:c r="N172" s="23" t="str">
        <x:v>https://v5ma.github.io/theology-wiki/san-reader.html?page=i-commit-my-spirit</x:v>
      </x:c>
    </x:row>
    <x:row r="173" ht="56" customHeight="1">
      <x:c r="A173" s="23" t="str">
        <x:v>If the Antichrist emerged on the world stage today, he could not be from any Middle Eastern nation, nor from Russia.</x:v>
      </x:c>
      <x:c r="B173" s="23" t="str">
        <x:v>gpt2026dragon2997_Method_Disclosure_Review.txt</x:v>
      </x:c>
      <x:c r="C173" s="23" t="str">
        <x:v>2026-01-18</x:v>
      </x:c>
      <x:c r="D173" s="23" t="n">
        <x:v>10</x:v>
      </x:c>
      <x:c r="E173" s="23" t="str"/>
      <x:c r="F173" s="23" t="n">
        <x:f>IF(E173="",0,LEN(E173)-LEN(SUBSTITUTE(E173,CHAR(10),""))+1)</x:f>
        <x:v>0</x:v>
      </x:c>
      <x:c r="G173" s="23" t="str"/>
      <x:c r="H173" s="23" t="n">
        <x:f>IF(G173="",0,LEN(G173&amp;"")-LEN(SUBSTITUTE(G173&amp;"",CHAR(10),""))+1)</x:f>
        <x:v>0</x:v>
      </x:c>
      <x:c r="I173" s="23" t="str"/>
      <x:c r="J173" s="23" t="str">
        <x:v>No developed-article link recorded</x:v>
      </x:c>
      <x:c r="K173" s="23" t="str">
        <x:v>Not inferred</x:v>
      </x:c>
      <x:c r="L173" s="34" t="str">
        <x:v>b6942d78bf816dea714920efe5473ce52ab0fd403e434756ab20c6a14e38b89c</x:v>
      </x:c>
      <x:c r="M173" s="32" t="n">
        <x:v>33280</x:v>
      </x:c>
      <x:c r="N173" s="23" t="str">
        <x:v>https://v5ma.github.io/theology-wiki/san-reader.html?page=if-the-antichrist-emerged-on-the-world-stage-today-he-could-not-be-from-any-middle-eastern-nation-nor-from-russia</x:v>
      </x:c>
    </x:row>
    <x:row r="174" ht="56" customHeight="1">
      <x:c r="A174" s="23" t="str">
        <x:v>Image and Identity Theme</x:v>
      </x:c>
      <x:c r="B174" s="23" t="str">
        <x:v>gpt2026dragon2968_Image_and_Identity_Theme.txt</x:v>
      </x:c>
      <x:c r="C174" s="23" t="str">
        <x:v>2026-01-08</x:v>
      </x:c>
      <x:c r="D174" s="23" t="n">
        <x:v>16</x:v>
      </x:c>
      <x:c r="E174" s="23" t="str"/>
      <x:c r="F174" s="23" t="n">
        <x:f>IF(E174="",0,LEN(E174)-LEN(SUBSTITUTE(E174,CHAR(10),""))+1)</x:f>
        <x:v>0</x:v>
      </x:c>
      <x:c r="G174" s="23" t="str"/>
      <x:c r="H174" s="23" t="n">
        <x:f>IF(G174="",0,LEN(G174&amp;"")-LEN(SUBSTITUTE(G174&amp;"",CHAR(10),""))+1)</x:f>
        <x:v>0</x:v>
      </x:c>
      <x:c r="I174" s="23" t="str"/>
      <x:c r="J174" s="23" t="str">
        <x:v>No developed-article link recorded</x:v>
      </x:c>
      <x:c r="K174" s="23" t="str">
        <x:v>Not inferred</x:v>
      </x:c>
      <x:c r="L174" s="34" t="str">
        <x:v>8b4bbef080ceb20d302d41ce4532ee9f6d36f531bfeb43a14ff02bb488eb8eb3</x:v>
      </x:c>
      <x:c r="M174" s="32" t="n">
        <x:v>13256</x:v>
      </x:c>
      <x:c r="N174" s="23" t="str">
        <x:v>https://v5ma.github.io/theology-wiki/san-reader.html?page=image-and-identity-theme</x:v>
      </x:c>
    </x:row>
    <x:row r="175" ht="56" customHeight="1">
      <x:c r="A175" s="23" t="str">
        <x:v>Inanna Death and Resurrection</x:v>
      </x:c>
      <x:c r="B175" s="23" t="str">
        <x:v>gpt2026dragon611_Inanna_Death_and_Resurrection.txt</x:v>
      </x:c>
      <x:c r="C175" s="23" t="str">
        <x:v>2025-01-01</x:v>
      </x:c>
      <x:c r="D175" s="23" t="n">
        <x:v>3</x:v>
      </x:c>
      <x:c r="E175" s="23" t="str"/>
      <x:c r="F175" s="23" t="n">
        <x:f>IF(E175="",0,LEN(E175)-LEN(SUBSTITUTE(E175,CHAR(10),""))+1)</x:f>
        <x:v>0</x:v>
      </x:c>
      <x:c r="G175" s="23" t="str"/>
      <x:c r="H175" s="23" t="n">
        <x:f>IF(G175="",0,LEN(G175&amp;"")-LEN(SUBSTITUTE(G175&amp;"",CHAR(10),""))+1)</x:f>
        <x:v>0</x:v>
      </x:c>
      <x:c r="I175" s="23" t="str"/>
      <x:c r="J175" s="23" t="str">
        <x:v>No developed-article link recorded</x:v>
      </x:c>
      <x:c r="K175" s="23" t="str">
        <x:v>Not inferred</x:v>
      </x:c>
      <x:c r="L175" s="34" t="str">
        <x:v>61357aec2e29d0888192aeb6e0da76374f11be2d0f70e2cd02fb471842f2de5d</x:v>
      </x:c>
      <x:c r="M175" s="32" t="n">
        <x:v>5495</x:v>
      </x:c>
      <x:c r="N175" s="23" t="str">
        <x:v>https://v5ma.github.io/theology-wiki/san-reader.html?page=inanna-death-and-resurrection</x:v>
      </x:c>
    </x:row>
    <x:row r="176" ht="56" customHeight="1">
      <x:c r="A176" s="23" t="str">
        <x:v>Iran Amalek Prophecy Debate</x:v>
      </x:c>
      <x:c r="B176" s="23" t="str">
        <x:v>gpt2026dragon3146_Iran_Amalek_Prophecy_Debate.txt</x:v>
      </x:c>
      <x:c r="C176" s="23" t="str">
        <x:v>2026-03-09</x:v>
      </x:c>
      <x:c r="D176" s="23" t="n">
        <x:v>7</x:v>
      </x:c>
      <x:c r="E176" s="23" t="str"/>
      <x:c r="F176" s="23" t="n">
        <x:f>IF(E176="",0,LEN(E176)-LEN(SUBSTITUTE(E176,CHAR(10),""))+1)</x:f>
        <x:v>0</x:v>
      </x:c>
      <x:c r="G176" s="23" t="str"/>
      <x:c r="H176" s="23" t="n">
        <x:f>IF(G176="",0,LEN(G176&amp;"")-LEN(SUBSTITUTE(G176&amp;"",CHAR(10),""))+1)</x:f>
        <x:v>0</x:v>
      </x:c>
      <x:c r="I176" s="23" t="str"/>
      <x:c r="J176" s="23" t="str">
        <x:v>No developed-article link recorded</x:v>
      </x:c>
      <x:c r="K176" s="23" t="str">
        <x:v>Not inferred</x:v>
      </x:c>
      <x:c r="L176" s="34" t="str">
        <x:v>1c5030d8d8ad1621fa43f200813c2fdc64894db035f297a10a2af624c0e01bc0</x:v>
      </x:c>
      <x:c r="M176" s="32" t="n">
        <x:v>12939</x:v>
      </x:c>
      <x:c r="N176" s="23" t="str">
        <x:v>https://v5ma.github.io/theology-wiki/san-reader.html?page=iran-amalek-prophecy-debate</x:v>
      </x:c>
    </x:row>
    <x:row r="177" ht="56" customHeight="1">
      <x:c r="A177" s="23" t="str">
        <x:v>Islam's Arrival Century</x:v>
      </x:c>
      <x:c r="B177" s="23" t="str">
        <x:v>gpt2026dragon476_Islam_s_Arrival_Century.txt</x:v>
      </x:c>
      <x:c r="C177" s="23" t="str">
        <x:v>2024-11-29</x:v>
      </x:c>
      <x:c r="D177" s="23" t="n">
        <x:v>2</x:v>
      </x:c>
      <x:c r="E177" s="23" t="str"/>
      <x:c r="F177" s="23" t="n">
        <x:f>IF(E177="",0,LEN(E177)-LEN(SUBSTITUTE(E177,CHAR(10),""))+1)</x:f>
        <x:v>0</x:v>
      </x:c>
      <x:c r="G177" s="23" t="str"/>
      <x:c r="H177" s="23" t="n">
        <x:f>IF(G177="",0,LEN(G177&amp;"")-LEN(SUBSTITUTE(G177&amp;"",CHAR(10),""))+1)</x:f>
        <x:v>0</x:v>
      </x:c>
      <x:c r="I177" s="23" t="str"/>
      <x:c r="J177" s="23" t="str">
        <x:v>No developed-article link recorded</x:v>
      </x:c>
      <x:c r="K177" s="23" t="str">
        <x:v>Not inferred</x:v>
      </x:c>
      <x:c r="L177" s="34" t="str">
        <x:v>fe1bf3f83591317cb8ca203e40c98b631e03b05bcab56fbe491469069ae2ebbc</x:v>
      </x:c>
      <x:c r="M177" s="32" t="n">
        <x:v>939</x:v>
      </x:c>
      <x:c r="N177" s="23" t="str">
        <x:v>https://v5ma.github.io/theology-wiki/san-reader.html?page=islam-s-arrival-century</x:v>
      </x:c>
    </x:row>
    <x:row r="178" ht="56" customHeight="1">
      <x:c r="A178" s="23" t="str">
        <x:v>Israel Democracy Debate</x:v>
      </x:c>
      <x:c r="B178" s="23" t="str">
        <x:v>gpt2026dragon1672_Israel_Democracy_Debate.txt</x:v>
      </x:c>
      <x:c r="C178" s="23" t="str">
        <x:v>2025-06-14</x:v>
      </x:c>
      <x:c r="D178" s="23" t="n">
        <x:v>7</x:v>
      </x:c>
      <x:c r="E178" s="23" t="str"/>
      <x:c r="F178" s="23" t="n">
        <x:f>IF(E178="",0,LEN(E178)-LEN(SUBSTITUTE(E178,CHAR(10),""))+1)</x:f>
        <x:v>0</x:v>
      </x:c>
      <x:c r="G178" s="23" t="str"/>
      <x:c r="H178" s="23" t="n">
        <x:f>IF(G178="",0,LEN(G178&amp;"")-LEN(SUBSTITUTE(G178&amp;"",CHAR(10),""))+1)</x:f>
        <x:v>0</x:v>
      </x:c>
      <x:c r="I178" s="23" t="str"/>
      <x:c r="J178" s="23" t="str">
        <x:v>No developed-article link recorded</x:v>
      </x:c>
      <x:c r="K178" s="23" t="str">
        <x:v>Not inferred</x:v>
      </x:c>
      <x:c r="L178" s="34" t="str">
        <x:v>ec3b97033286afb1f308c0734b5ff61bfe82201d658d4c73f6c3510fbe3bd4da</x:v>
      </x:c>
      <x:c r="M178" s="32" t="n">
        <x:v>13531</x:v>
      </x:c>
      <x:c r="N178" s="23" t="str">
        <x:v>https://v5ma.github.io/theology-wiki/san-reader.html?page=israel-democracy-debate</x:v>
      </x:c>
    </x:row>
    <x:row r="179" ht="56" customHeight="1">
      <x:c r="A179" s="23" t="str">
        <x:v>Israel Gaza famine responsibility</x:v>
      </x:c>
      <x:c r="B179" s="23" t="str">
        <x:v>gpt2026dragon2352_Israel_Gaza_famine_responsibility.txt</x:v>
      </x:c>
      <x:c r="C179" s="23" t="str">
        <x:v>2025-09-10</x:v>
      </x:c>
      <x:c r="D179" s="23" t="n">
        <x:v>23</x:v>
      </x:c>
      <x:c r="E179" s="23" t="str"/>
      <x:c r="F179" s="23" t="n">
        <x:f>IF(E179="",0,LEN(E179)-LEN(SUBSTITUTE(E179,CHAR(10),""))+1)</x:f>
        <x:v>0</x:v>
      </x:c>
      <x:c r="G179" s="23" t="str"/>
      <x:c r="H179" s="23" t="n">
        <x:f>IF(G179="",0,LEN(G179&amp;"")-LEN(SUBSTITUTE(G179&amp;"",CHAR(10),""))+1)</x:f>
        <x:v>0</x:v>
      </x:c>
      <x:c r="I179" s="23" t="str"/>
      <x:c r="J179" s="23" t="str">
        <x:v>No developed-article link recorded</x:v>
      </x:c>
      <x:c r="K179" s="23" t="str">
        <x:v>Not inferred</x:v>
      </x:c>
      <x:c r="L179" s="34" t="str">
        <x:v>3b91b3f23e425e17f9279496cf5302d818577994b661e04369403b979ba17ff4</x:v>
      </x:c>
      <x:c r="M179" s="32" t="n">
        <x:v>192301</x:v>
      </x:c>
      <x:c r="N179" s="23" t="str">
        <x:v>https://v5ma.github.io/theology-wiki/san-reader.html?page=israel-gaza-famine-responsibility</x:v>
      </x:c>
    </x:row>
    <x:row r="180" ht="56" customHeight="1">
      <x:c r="A180" s="23" t="str">
        <x:v>James Tabor Expertise Gnosticism</x:v>
      </x:c>
      <x:c r="B180" s="23" t="str">
        <x:v>gpt2026dragon1900_James_Tabor_Expertise_Gnosticism.txt</x:v>
      </x:c>
      <x:c r="C180" s="23" t="str">
        <x:v>2025-07-15</x:v>
      </x:c>
      <x:c r="D180" s="23" t="n">
        <x:v>2</x:v>
      </x:c>
      <x:c r="E180" s="23" t="str"/>
      <x:c r="F180" s="23" t="n">
        <x:f>IF(E180="",0,LEN(E180)-LEN(SUBSTITUTE(E180,CHAR(10),""))+1)</x:f>
        <x:v>0</x:v>
      </x:c>
      <x:c r="G180" s="23" t="str"/>
      <x:c r="H180" s="23" t="n">
        <x:f>IF(G180="",0,LEN(G180&amp;"")-LEN(SUBSTITUTE(G180&amp;"",CHAR(10),""))+1)</x:f>
        <x:v>0</x:v>
      </x:c>
      <x:c r="I180" s="23" t="str"/>
      <x:c r="J180" s="23" t="str">
        <x:v>No developed-article link recorded</x:v>
      </x:c>
      <x:c r="K180" s="23" t="str">
        <x:v>Not inferred</x:v>
      </x:c>
      <x:c r="L180" s="34" t="str">
        <x:v>fea38bb421ace81720eaa4e3cbc0896c9d804e9a216f1ae5feb58d3261e591c6</x:v>
      </x:c>
      <x:c r="M180" s="32" t="n">
        <x:v>4682</x:v>
      </x:c>
      <x:c r="N180" s="23" t="str">
        <x:v>https://v5ma.github.io/theology-wiki/san-reader.html?page=james-tabor-expertise-gnosticism</x:v>
      </x:c>
    </x:row>
    <x:row r="181" ht="56" customHeight="1">
      <x:c r="A181" s="23" t="str">
        <x:v>James the Just Analysis</x:v>
      </x:c>
      <x:c r="B181" s="23" t="str">
        <x:v>gpt2026dragon1461_James_the_Just_Analysis.txt</x:v>
      </x:c>
      <x:c r="C181" s="23" t="str">
        <x:v>2025-05-10</x:v>
      </x:c>
      <x:c r="D181" s="23" t="n">
        <x:v>4</x:v>
      </x:c>
      <x:c r="E181" s="23" t="str"/>
      <x:c r="F181" s="23" t="n">
        <x:f>IF(E181="",0,LEN(E181)-LEN(SUBSTITUTE(E181,CHAR(10),""))+1)</x:f>
        <x:v>0</x:v>
      </x:c>
      <x:c r="G181" s="23" t="str"/>
      <x:c r="H181" s="23" t="n">
        <x:f>IF(G181="",0,LEN(G181&amp;"")-LEN(SUBSTITUTE(G181&amp;"",CHAR(10),""))+1)</x:f>
        <x:v>0</x:v>
      </x:c>
      <x:c r="I181" s="23" t="str"/>
      <x:c r="J181" s="23" t="str">
        <x:v>No developed-article link recorded</x:v>
      </x:c>
      <x:c r="K181" s="23" t="str">
        <x:v>Not inferred</x:v>
      </x:c>
      <x:c r="L181" s="34" t="str">
        <x:v>f09ff2c41330eaf533ef4522a6171b541ec652c08e2a3ddd036bfcd49e40de6f</x:v>
      </x:c>
      <x:c r="M181" s="32" t="n">
        <x:v>7882</x:v>
      </x:c>
      <x:c r="N181" s="23" t="str">
        <x:v>https://v5ma.github.io/theology-wiki/san-reader.html?page=james-the-just-analysis</x:v>
      </x:c>
    </x:row>
    <x:row r="182" ht="56" customHeight="1">
      <x:c r="A182" s="23" t="str">
        <x:v>Jesus 7 levels of consciousness fact check</x:v>
      </x:c>
      <x:c r="B182" s="23" t="str">
        <x:v>gpt2026dragon2759_Jesus_7_levels_of_consciousness_fact_che.txt</x:v>
      </x:c>
      <x:c r="C182" s="23" t="str">
        <x:v>2025-11-14</x:v>
      </x:c>
      <x:c r="D182" s="23" t="n">
        <x:v>4</x:v>
      </x:c>
      <x:c r="E182" s="23" t="str"/>
      <x:c r="F182" s="23" t="n">
        <x:f>IF(E182="",0,LEN(E182)-LEN(SUBSTITUTE(E182,CHAR(10),""))+1)</x:f>
        <x:v>0</x:v>
      </x:c>
      <x:c r="G182" s="23" t="str"/>
      <x:c r="H182" s="23" t="n">
        <x:f>IF(G182="",0,LEN(G182&amp;"")-LEN(SUBSTITUTE(G182&amp;"",CHAR(10),""))+1)</x:f>
        <x:v>0</x:v>
      </x:c>
      <x:c r="I182" s="23" t="str"/>
      <x:c r="J182" s="23" t="str">
        <x:v>No developed-article link recorded</x:v>
      </x:c>
      <x:c r="K182" s="23" t="str">
        <x:v>Not inferred</x:v>
      </x:c>
      <x:c r="L182" s="34" t="str">
        <x:v>2b584f07d2d1109e8fbd2c8eb0e48fe16d0dfc0ae095f430d6203b11527fbdbd</x:v>
      </x:c>
      <x:c r="M182" s="32" t="n">
        <x:v>23552</x:v>
      </x:c>
      <x:c r="N182" s="23" t="str">
        <x:v>https://v5ma.github.io/theology-wiki/san-reader.html?page=jesus-7-levels-of-consciousness-fact-check</x:v>
      </x:c>
    </x:row>
    <x:row r="183" ht="56" customHeight="1">
      <x:c r="A183" s="23" t="str">
        <x:v>Jesus and biblical figures</x:v>
      </x:c>
      <x:c r="B183" s="23" t="str">
        <x:v>gpt2026dragon2331_Jesus_and_biblical_figures.txt</x:v>
      </x:c>
      <x:c r="C183" s="23" t="str">
        <x:v>2025-09-08</x:v>
      </x:c>
      <x:c r="D183" s="23" t="n">
        <x:v>10</x:v>
      </x:c>
      <x:c r="E183" s="23" t="str"/>
      <x:c r="F183" s="23" t="n">
        <x:f>IF(E183="",0,LEN(E183)-LEN(SUBSTITUTE(E183,CHAR(10),""))+1)</x:f>
        <x:v>0</x:v>
      </x:c>
      <x:c r="G183" s="23" t="str"/>
      <x:c r="H183" s="23" t="n">
        <x:f>IF(G183="",0,LEN(G183&amp;"")-LEN(SUBSTITUTE(G183&amp;"",CHAR(10),""))+1)</x:f>
        <x:v>0</x:v>
      </x:c>
      <x:c r="I183" s="23" t="str"/>
      <x:c r="J183" s="23" t="str">
        <x:v>No developed-article link recorded</x:v>
      </x:c>
      <x:c r="K183" s="23" t="str">
        <x:v>Not inferred</x:v>
      </x:c>
      <x:c r="L183" s="34" t="str">
        <x:v>efce0d25248753399eafa8377e98b2e1d0cb457a7a634486a0d92b9534db0120</x:v>
      </x:c>
      <x:c r="M183" s="32" t="n">
        <x:v>49857</x:v>
      </x:c>
      <x:c r="N183" s="23" t="str">
        <x:v>https://v5ma.github.io/theology-wiki/san-reader.html?page=jesus-and-biblical-figures</x:v>
      </x:c>
    </x:row>
    <x:row r="184" ht="56" customHeight="1">
      <x:c r="A184" s="23" t="str">
        <x:v>Jesus and Dead Sea Scrolls</x:v>
      </x:c>
      <x:c r="B184" s="23" t="str">
        <x:v>gpt2026dragon1467_Jesus_and_Dead_Sea_Scrolls.txt</x:v>
      </x:c>
      <x:c r="C184" s="23" t="str">
        <x:v>2025-05-11</x:v>
      </x:c>
      <x:c r="D184" s="23" t="n">
        <x:v>2</x:v>
      </x:c>
      <x:c r="E184" s="23" t="str"/>
      <x:c r="F184" s="23" t="n">
        <x:f>IF(E184="",0,LEN(E184)-LEN(SUBSTITUTE(E184,CHAR(10),""))+1)</x:f>
        <x:v>0</x:v>
      </x:c>
      <x:c r="G184" s="23" t="str"/>
      <x:c r="H184" s="23" t="n">
        <x:f>IF(G184="",0,LEN(G184&amp;"")-LEN(SUBSTITUTE(G184&amp;"",CHAR(10),""))+1)</x:f>
        <x:v>0</x:v>
      </x:c>
      <x:c r="I184" s="23" t="str"/>
      <x:c r="J184" s="23" t="str">
        <x:v>No developed-article link recorded</x:v>
      </x:c>
      <x:c r="K184" s="23" t="str">
        <x:v>Not inferred</x:v>
      </x:c>
      <x:c r="L184" s="34" t="str">
        <x:v>8efadd76eb07ebff12e1ec8648aa72426a2fe4e3e881353ad8eeb1ce6c0141fb</x:v>
      </x:c>
      <x:c r="M184" s="32" t="n">
        <x:v>5022</x:v>
      </x:c>
      <x:c r="N184" s="23" t="str">
        <x:v>https://v5ma.github.io/theology-wiki/san-reader.html?page=jesus-and-dead-sea-scrolls</x:v>
      </x:c>
    </x:row>
    <x:row r="185" ht="56" customHeight="1">
      <x:c r="A185" s="23" t="str">
        <x:v>Jesus and Gnostic Teachings</x:v>
      </x:c>
      <x:c r="B185" s="23" t="str">
        <x:v>gpt2026dragon1455_Jesus_and_Gnostic_Teachings.txt</x:v>
      </x:c>
      <x:c r="C185" s="23" t="str">
        <x:v>2025-05-09</x:v>
      </x:c>
      <x:c r="D185" s="23" t="n">
        <x:v>2</x:v>
      </x:c>
      <x:c r="E185" s="23" t="str"/>
      <x:c r="F185" s="23" t="n">
        <x:f>IF(E185="",0,LEN(E185)-LEN(SUBSTITUTE(E185,CHAR(10),""))+1)</x:f>
        <x:v>0</x:v>
      </x:c>
      <x:c r="G185" s="23" t="str"/>
      <x:c r="H185" s="23" t="n">
        <x:f>IF(G185="",0,LEN(G185&amp;"")-LEN(SUBSTITUTE(G185&amp;"",CHAR(10),""))+1)</x:f>
        <x:v>0</x:v>
      </x:c>
      <x:c r="I185" s="23" t="str"/>
      <x:c r="J185" s="23" t="str">
        <x:v>No developed-article link recorded</x:v>
      </x:c>
      <x:c r="K185" s="23" t="str">
        <x:v>Not inferred</x:v>
      </x:c>
      <x:c r="L185" s="34" t="str">
        <x:v>089dc0467128d30ebd497b0989709f43fb77071aff2e722b759b0bb3390ba0b3</x:v>
      </x:c>
      <x:c r="M185" s="32" t="n">
        <x:v>5882</x:v>
      </x:c>
      <x:c r="N185" s="23" t="str">
        <x:v>https://v5ma.github.io/theology-wiki/san-reader.html?page=jesus-and-gnostic-teachings</x:v>
      </x:c>
    </x:row>
    <x:row r="186" ht="56" customHeight="1">
      <x:c r="A186" s="23" t="str">
        <x:v>Jesus and Neo Matrix</x:v>
      </x:c>
      <x:c r="B186" s="23" t="str">
        <x:v>gpt2026dragon1035_Jesus_and_Neo_Matrix.txt</x:v>
      </x:c>
      <x:c r="C186" s="23" t="str">
        <x:v>2025-03-03</x:v>
      </x:c>
      <x:c r="D186" s="23" t="n">
        <x:v>1</x:v>
      </x:c>
      <x:c r="E186" s="23" t="str"/>
      <x:c r="F186" s="23" t="n">
        <x:f>IF(E186="",0,LEN(E186)-LEN(SUBSTITUTE(E186,CHAR(10),""))+1)</x:f>
        <x:v>0</x:v>
      </x:c>
      <x:c r="G186" s="23" t="str"/>
      <x:c r="H186" s="23" t="n">
        <x:f>IF(G186="",0,LEN(G186&amp;"")-LEN(SUBSTITUTE(G186&amp;"",CHAR(10),""))+1)</x:f>
        <x:v>0</x:v>
      </x:c>
      <x:c r="I186" s="23" t="str"/>
      <x:c r="J186" s="23" t="str">
        <x:v>No developed-article link recorded</x:v>
      </x:c>
      <x:c r="K186" s="23" t="str">
        <x:v>Not inferred</x:v>
      </x:c>
      <x:c r="L186" s="34" t="str">
        <x:v>df067184f8f748896084a2514a771e6ad10b8321746aaf71c0e8a8797e003261</x:v>
      </x:c>
      <x:c r="M186" s="32" t="n">
        <x:v>318</x:v>
      </x:c>
      <x:c r="N186" s="23" t="str">
        <x:v>https://v5ma.github.io/theology-wiki/san-reader.html?page=jesus-and-neo-matrix</x:v>
      </x:c>
    </x:row>
    <x:row r="187" ht="56" customHeight="1">
      <x:c r="A187" s="23" t="str">
        <x:v>Jesus as a Teenager</x:v>
      </x:c>
      <x:c r="B187" s="23" t="str">
        <x:v>gpt2026dragon1694_Jesus_as_a_Teenager.txt</x:v>
      </x:c>
      <x:c r="C187" s="23" t="str">
        <x:v>2025-06-17</x:v>
      </x:c>
      <x:c r="D187" s="23" t="n">
        <x:v>14</x:v>
      </x:c>
      <x:c r="E187" s="23" t="str"/>
      <x:c r="F187" s="23" t="n">
        <x:f>IF(E187="",0,LEN(E187)-LEN(SUBSTITUTE(E187,CHAR(10),""))+1)</x:f>
        <x:v>0</x:v>
      </x:c>
      <x:c r="G187" s="23" t="str"/>
      <x:c r="H187" s="23" t="n">
        <x:f>IF(G187="",0,LEN(G187&amp;"")-LEN(SUBSTITUTE(G187&amp;"",CHAR(10),""))+1)</x:f>
        <x:v>0</x:v>
      </x:c>
      <x:c r="I187" s="23" t="str"/>
      <x:c r="J187" s="23" t="str">
        <x:v>No developed-article link recorded</x:v>
      </x:c>
      <x:c r="K187" s="23" t="str">
        <x:v>Not inferred</x:v>
      </x:c>
      <x:c r="L187" s="34" t="str">
        <x:v>604c6716606e4f23fa45f29ddf0a65f86d298da1d69826df67f7b6cc73d0f65e</x:v>
      </x:c>
      <x:c r="M187" s="32" t="n">
        <x:v>21212</x:v>
      </x:c>
      <x:c r="N187" s="23" t="str">
        <x:v>https://v5ma.github.io/theology-wiki/san-reader.html?page=jesus-as-a-teenager</x:v>
      </x:c>
    </x:row>
    <x:row r="188" ht="56" customHeight="1">
      <x:c r="A188" s="23" t="str">
        <x:v>Jesus as Philosopher Teacher</x:v>
      </x:c>
      <x:c r="B188" s="23" t="str">
        <x:v>gpt2026dragon1256_Jesus_as_Philosopher_Teacher.txt</x:v>
      </x:c>
      <x:c r="C188" s="23" t="str">
        <x:v>2025-04-04</x:v>
      </x:c>
      <x:c r="D188" s="23" t="n">
        <x:v>2</x:v>
      </x:c>
      <x:c r="E188" s="23" t="str"/>
      <x:c r="F188" s="23" t="n">
        <x:f>IF(E188="",0,LEN(E188)-LEN(SUBSTITUTE(E188,CHAR(10),""))+1)</x:f>
        <x:v>0</x:v>
      </x:c>
      <x:c r="G188" s="23" t="str"/>
      <x:c r="H188" s="23" t="n">
        <x:f>IF(G188="",0,LEN(G188&amp;"")-LEN(SUBSTITUTE(G188&amp;"",CHAR(10),""))+1)</x:f>
        <x:v>0</x:v>
      </x:c>
      <x:c r="I188" s="23" t="str"/>
      <x:c r="J188" s="23" t="str">
        <x:v>No developed-article link recorded</x:v>
      </x:c>
      <x:c r="K188" s="23" t="str">
        <x:v>Not inferred</x:v>
      </x:c>
      <x:c r="L188" s="34" t="str">
        <x:v>b1ed774f4042699042bfa50f3238f98e70d8bcf9ef8d21959c6edccb0ffd80c5</x:v>
      </x:c>
      <x:c r="M188" s="32" t="n">
        <x:v>4963</x:v>
      </x:c>
      <x:c r="N188" s="23" t="str">
        <x:v>https://v5ma.github.io/theology-wiki/san-reader.html?page=jesus-as-philosopher-teacher</x:v>
      </x:c>
    </x:row>
    <x:row r="189" ht="56" customHeight="1">
      <x:c r="A189" s="23" t="str">
        <x:v>Jesus as Storyteller</x:v>
      </x:c>
      <x:c r="B189" s="23" t="str">
        <x:v>gpt2026dragon1246_Jesus_as_Storyteller.txt</x:v>
      </x:c>
      <x:c r="C189" s="23" t="str">
        <x:v>2025-03-31</x:v>
      </x:c>
      <x:c r="D189" s="23" t="n">
        <x:v>6</x:v>
      </x:c>
      <x:c r="E189" s="23" t="str"/>
      <x:c r="F189" s="23" t="n">
        <x:f>IF(E189="",0,LEN(E189)-LEN(SUBSTITUTE(E189,CHAR(10),""))+1)</x:f>
        <x:v>0</x:v>
      </x:c>
      <x:c r="G189" s="23" t="str"/>
      <x:c r="H189" s="23" t="n">
        <x:f>IF(G189="",0,LEN(G189&amp;"")-LEN(SUBSTITUTE(G189&amp;"",CHAR(10),""))+1)</x:f>
        <x:v>0</x:v>
      </x:c>
      <x:c r="I189" s="23" t="str"/>
      <x:c r="J189" s="23" t="str">
        <x:v>No developed-article link recorded</x:v>
      </x:c>
      <x:c r="K189" s="23" t="str">
        <x:v>Not inferred</x:v>
      </x:c>
      <x:c r="L189" s="34" t="str">
        <x:v>5fe29ed57379e602cf850cd655a620f71f44e675494cca421697645d5b203e75</x:v>
      </x:c>
      <x:c r="M189" s="32" t="n">
        <x:v>8408</x:v>
      </x:c>
      <x:c r="N189" s="23" t="str">
        <x:v>https://v5ma.github.io/theology-wiki/san-reader.html?page=jesus-as-storyteller</x:v>
      </x:c>
    </x:row>
    <x:row r="190" ht="56" customHeight="1">
      <x:c r="A190" s="23" t="str">
        <x:v>Jesus Drives Out Merchants</x:v>
      </x:c>
      <x:c r="B190" s="23" t="str">
        <x:v>gpt2026dragon1916_Jesus_Drives_Out_Merchants.txt</x:v>
      </x:c>
      <x:c r="C190" s="23" t="str">
        <x:v>2025-07-18</x:v>
      </x:c>
      <x:c r="D190" s="23" t="n">
        <x:v>4</x:v>
      </x:c>
      <x:c r="E190" s="23" t="str"/>
      <x:c r="F190" s="23" t="n">
        <x:f>IF(E190="",0,LEN(E190)-LEN(SUBSTITUTE(E190,CHAR(10),""))+1)</x:f>
        <x:v>0</x:v>
      </x:c>
      <x:c r="G190" s="23" t="str"/>
      <x:c r="H190" s="23" t="n">
        <x:f>IF(G190="",0,LEN(G190&amp;"")-LEN(SUBSTITUTE(G190&amp;"",CHAR(10),""))+1)</x:f>
        <x:v>0</x:v>
      </x:c>
      <x:c r="I190" s="23" t="str"/>
      <x:c r="J190" s="23" t="str">
        <x:v>No developed-article link recorded</x:v>
      </x:c>
      <x:c r="K190" s="23" t="str">
        <x:v>Not inferred</x:v>
      </x:c>
      <x:c r="L190" s="34" t="str">
        <x:v>5d97f8796baf60cfedec84975b8e96d584b4e04eb5743bdc7815a53d13700fff</x:v>
      </x:c>
      <x:c r="M190" s="32" t="n">
        <x:v>2327</x:v>
      </x:c>
      <x:c r="N190" s="23" t="str">
        <x:v>https://v5ma.github.io/theology-wiki/san-reader.html?page=jesus-drives-out-merchants</x:v>
      </x:c>
    </x:row>
    <x:row r="191" ht="56" customHeight="1">
      <x:c r="A191" s="23" t="str">
        <x:v>Jesus Gnosticism and Myth</x:v>
      </x:c>
      <x:c r="B191" s="23" t="str">
        <x:v>gpt2026dragon1257_Jesus_Gnosticism_and_Myth.txt</x:v>
      </x:c>
      <x:c r="C191" s="23" t="str">
        <x:v>2025-04-04</x:v>
      </x:c>
      <x:c r="D191" s="23" t="n">
        <x:v>2</x:v>
      </x:c>
      <x:c r="E191" s="23" t="str"/>
      <x:c r="F191" s="23" t="n">
        <x:f>IF(E191="",0,LEN(E191)-LEN(SUBSTITUTE(E191,CHAR(10),""))+1)</x:f>
        <x:v>0</x:v>
      </x:c>
      <x:c r="G191" s="23" t="str"/>
      <x:c r="H191" s="23" t="n">
        <x:f>IF(G191="",0,LEN(G191&amp;"")-LEN(SUBSTITUTE(G191&amp;"",CHAR(10),""))+1)</x:f>
        <x:v>0</x:v>
      </x:c>
      <x:c r="I191" s="23" t="str"/>
      <x:c r="J191" s="23" t="str">
        <x:v>No developed-article link recorded</x:v>
      </x:c>
      <x:c r="K191" s="23" t="str">
        <x:v>Not inferred</x:v>
      </x:c>
      <x:c r="L191" s="34" t="str">
        <x:v>4fb70cece4e27eae58b4b5a868a8d2cb643ea626984c8a9b72a0e95345baaa56</x:v>
      </x:c>
      <x:c r="M191" s="32" t="n">
        <x:v>4357</x:v>
      </x:c>
      <x:c r="N191" s="23" t="str">
        <x:v>https://v5ma.github.io/theology-wiki/san-reader.html?page=jesus-gnosticism-and-myth</x:v>
      </x:c>
    </x:row>
    <x:row r="192" ht="56" customHeight="1">
      <x:c r="A192" s="23" t="str">
        <x:v>Jesus in Dead Sea Scrolls</x:v>
      </x:c>
      <x:c r="B192" s="23" t="str">
        <x:v>gpt2026dragon1703_Jesus_in_Dead_Sea_Scrolls.txt</x:v>
      </x:c>
      <x:c r="C192" s="23" t="str">
        <x:v>2025-06-18</x:v>
      </x:c>
      <x:c r="D192" s="23" t="n">
        <x:v>2</x:v>
      </x:c>
      <x:c r="E192" s="23" t="str"/>
      <x:c r="F192" s="23" t="n">
        <x:f>IF(E192="",0,LEN(E192)-LEN(SUBSTITUTE(E192,CHAR(10),""))+1)</x:f>
        <x:v>0</x:v>
      </x:c>
      <x:c r="G192" s="23" t="str"/>
      <x:c r="H192" s="23" t="n">
        <x:f>IF(G192="",0,LEN(G192&amp;"")-LEN(SUBSTITUTE(G192&amp;"",CHAR(10),""))+1)</x:f>
        <x:v>0</x:v>
      </x:c>
      <x:c r="I192" s="23" t="str"/>
      <x:c r="J192" s="23" t="str">
        <x:v>No developed-article link recorded</x:v>
      </x:c>
      <x:c r="K192" s="23" t="str">
        <x:v>Not inferred</x:v>
      </x:c>
      <x:c r="L192" s="34" t="str">
        <x:v>b350b95c29add36f6781a69658b15bbd07a6ee7e88961024dd4ee7c68c5b0776</x:v>
      </x:c>
      <x:c r="M192" s="32" t="n">
        <x:v>2255</x:v>
      </x:c>
      <x:c r="N192" s="23" t="str">
        <x:v>https://v5ma.github.io/theology-wiki/san-reader.html?page=jesus-in-dead-sea-scrolls</x:v>
      </x:c>
    </x:row>
    <x:row r="193" ht="56" customHeight="1">
      <x:c r="A193" s="23" t="str">
        <x:v>Jesus in Love Concept</x:v>
      </x:c>
      <x:c r="B193" s="23" t="str">
        <x:v>gpt2026dragon1285_Jesus_in_Love_Concept.txt</x:v>
      </x:c>
      <x:c r="C193" s="23" t="str">
        <x:v>2025-04-08</x:v>
      </x:c>
      <x:c r="D193" s="23" t="n">
        <x:v>2</x:v>
      </x:c>
      <x:c r="E193" s="23" t="str"/>
      <x:c r="F193" s="23" t="n">
        <x:f>IF(E193="",0,LEN(E193)-LEN(SUBSTITUTE(E193,CHAR(10),""))+1)</x:f>
        <x:v>0</x:v>
      </x:c>
      <x:c r="G193" s="23" t="str"/>
      <x:c r="H193" s="23" t="n">
        <x:f>IF(G193="",0,LEN(G193&amp;"")-LEN(SUBSTITUTE(G193&amp;"",CHAR(10),""))+1)</x:f>
        <x:v>0</x:v>
      </x:c>
      <x:c r="I193" s="23" t="str"/>
      <x:c r="J193" s="23" t="str">
        <x:v>No developed-article link recorded</x:v>
      </x:c>
      <x:c r="K193" s="23" t="str">
        <x:v>Not inferred</x:v>
      </x:c>
      <x:c r="L193" s="34" t="str">
        <x:v>f18a57785e586ce4b4c837bd2b07e5890b9579e2d0b51bb69673b8d92557719c</x:v>
      </x:c>
      <x:c r="M193" s="32" t="n">
        <x:v>4419</x:v>
      </x:c>
      <x:c r="N193" s="23" t="str">
        <x:v>https://v5ma.github.io/theology-wiki/san-reader.html?page=jesus-in-love-concept</x:v>
      </x:c>
    </x:row>
    <x:row r="194" ht="56" customHeight="1">
      <x:c r="A194" s="23" t="str">
        <x:v>Jesus James and Essenes</x:v>
      </x:c>
      <x:c r="B194" s="23" t="str">
        <x:v>gpt2026dragon1488_Jesus_James_and_Essenes.txt</x:v>
      </x:c>
      <x:c r="C194" s="23" t="str">
        <x:v>2025-05-13</x:v>
      </x:c>
      <x:c r="D194" s="23" t="n">
        <x:v>13</x:v>
      </x:c>
      <x:c r="E194" s="23" t="str"/>
      <x:c r="F194" s="23" t="n">
        <x:f>IF(E194="",0,LEN(E194)-LEN(SUBSTITUTE(E194,CHAR(10),""))+1)</x:f>
        <x:v>0</x:v>
      </x:c>
      <x:c r="G194" s="23" t="str"/>
      <x:c r="H194" s="23" t="n">
        <x:f>IF(G194="",0,LEN(G194&amp;"")-LEN(SUBSTITUTE(G194&amp;"",CHAR(10),""))+1)</x:f>
        <x:v>0</x:v>
      </x:c>
      <x:c r="I194" s="23" t="str"/>
      <x:c r="J194" s="23" t="str">
        <x:v>No developed-article link recorded</x:v>
      </x:c>
      <x:c r="K194" s="23" t="str">
        <x:v>Not inferred</x:v>
      </x:c>
      <x:c r="L194" s="34" t="str">
        <x:v>16a02b6a51e3c13265099f42c69e6741d3d3a5ab9252c74a1a397360528c990a</x:v>
      </x:c>
      <x:c r="M194" s="32" t="n">
        <x:v>28461</x:v>
      </x:c>
      <x:c r="N194" s="23" t="str">
        <x:v>https://v5ma.github.io/theology-wiki/san-reader.html?page=jesus-james-and-essenes</x:v>
      </x:c>
    </x:row>
    <x:row r="195" ht="56" customHeight="1">
      <x:c r="A195" s="23" t="str">
        <x:v>Jesus Long-Suffering vs Abraham Hicks</x:v>
      </x:c>
      <x:c r="B195" s="23" t="str">
        <x:v>gpt2026dragon1660_Jesus_Long-Suffering_vs_Abraham_Hicks.txt</x:v>
      </x:c>
      <x:c r="C195" s="23" t="str">
        <x:v>2025-06-11</x:v>
      </x:c>
      <x:c r="D195" s="23" t="n">
        <x:v>1</x:v>
      </x:c>
      <x:c r="E195" s="23" t="str"/>
      <x:c r="F195" s="23" t="n">
        <x:f>IF(E195="",0,LEN(E195)-LEN(SUBSTITUTE(E195,CHAR(10),""))+1)</x:f>
        <x:v>0</x:v>
      </x:c>
      <x:c r="G195" s="23" t="str"/>
      <x:c r="H195" s="23" t="n">
        <x:f>IF(G195="",0,LEN(G195&amp;"")-LEN(SUBSTITUTE(G195&amp;"",CHAR(10),""))+1)</x:f>
        <x:v>0</x:v>
      </x:c>
      <x:c r="I195" s="23" t="str"/>
      <x:c r="J195" s="23" t="str">
        <x:v>No developed-article link recorded</x:v>
      </x:c>
      <x:c r="K195" s="23" t="str">
        <x:v>Not inferred</x:v>
      </x:c>
      <x:c r="L195" s="34" t="str">
        <x:v>70c30f2d47909611adb330b89cb052171f81099d8292befe088b77bfcdeb4b2d</x:v>
      </x:c>
      <x:c r="M195" s="32" t="n">
        <x:v>2617</x:v>
      </x:c>
      <x:c r="N195" s="23" t="str">
        <x:v>https://v5ma.github.io/theology-wiki/san-reader.html?page=jesus-long-suffering-vs-abraham-hicks</x:v>
      </x:c>
    </x:row>
    <x:row r="196" ht="56" customHeight="1">
      <x:c r="A196" s="23" t="str">
        <x:v>Jesus Sayings Fact Check</x:v>
      </x:c>
      <x:c r="B196" s="23" t="str">
        <x:v>gpt2026dragon1336_Jesus_Sayings_Fact_Check.txt</x:v>
      </x:c>
      <x:c r="C196" s="23" t="str">
        <x:v>2025-04-20</x:v>
      </x:c>
      <x:c r="D196" s="23" t="n">
        <x:v>8</x:v>
      </x:c>
      <x:c r="E196" s="23" t="str"/>
      <x:c r="F196" s="23" t="n">
        <x:f>IF(E196="",0,LEN(E196)-LEN(SUBSTITUTE(E196,CHAR(10),""))+1)</x:f>
        <x:v>0</x:v>
      </x:c>
      <x:c r="G196" s="23" t="str"/>
      <x:c r="H196" s="23" t="n">
        <x:f>IF(G196="",0,LEN(G196&amp;"")-LEN(SUBSTITUTE(G196&amp;"",CHAR(10),""))+1)</x:f>
        <x:v>0</x:v>
      </x:c>
      <x:c r="I196" s="23" t="str"/>
      <x:c r="J196" s="23" t="str">
        <x:v>No developed-article link recorded</x:v>
      </x:c>
      <x:c r="K196" s="23" t="str">
        <x:v>Not inferred</x:v>
      </x:c>
      <x:c r="L196" s="34" t="str">
        <x:v>d2718fa2a25be42d7753701d2067497cfb8ed0c8565d1c51ed3a2cc0563551b6</x:v>
      </x:c>
      <x:c r="M196" s="32" t="n">
        <x:v>7778</x:v>
      </x:c>
      <x:c r="N196" s="23" t="str">
        <x:v>https://v5ma.github.io/theology-wiki/san-reader.html?page=jesus-sayings-fact-check</x:v>
      </x:c>
    </x:row>
    <x:row r="197" ht="56" customHeight="1">
      <x:c r="A197" s="23" t="str">
        <x:v>Jesus teachings on divorce</x:v>
      </x:c>
      <x:c r="B197" s="23" t="str">
        <x:v>gpt2026dragon1917_Jesus_teachings_on_divorce.txt</x:v>
      </x:c>
      <x:c r="C197" s="23" t="str">
        <x:v>2025-07-18</x:v>
      </x:c>
      <x:c r="D197" s="23" t="n">
        <x:v>4</x:v>
      </x:c>
      <x:c r="E197" s="23" t="str"/>
      <x:c r="F197" s="23" t="n">
        <x:f>IF(E197="",0,LEN(E197)-LEN(SUBSTITUTE(E197,CHAR(10),""))+1)</x:f>
        <x:v>0</x:v>
      </x:c>
      <x:c r="G197" s="23" t="str"/>
      <x:c r="H197" s="23" t="n">
        <x:f>IF(G197="",0,LEN(G197&amp;"")-LEN(SUBSTITUTE(G197&amp;"",CHAR(10),""))+1)</x:f>
        <x:v>0</x:v>
      </x:c>
      <x:c r="I197" s="23" t="str"/>
      <x:c r="J197" s="23" t="str">
        <x:v>No developed-article link recorded</x:v>
      </x:c>
      <x:c r="K197" s="23" t="str">
        <x:v>Not inferred</x:v>
      </x:c>
      <x:c r="L197" s="34" t="str">
        <x:v>f5e874039d39abc3d2764b683d3039af46066fbc68cd4eb420c5ba40483feddf</x:v>
      </x:c>
      <x:c r="M197" s="32" t="n">
        <x:v>3210</x:v>
      </x:c>
      <x:c r="N197" s="23" t="str">
        <x:v>https://v5ma.github.io/theology-wiki/san-reader.html?page=jesus-teachings-on-divorce</x:v>
      </x:c>
    </x:row>
    <x:row r="198" ht="56" customHeight="1">
      <x:c r="A198" s="23" t="str">
        <x:v>Jesus Teachings Overview</x:v>
      </x:c>
      <x:c r="B198" s="23" t="str">
        <x:v>gpt2026dragon425_Jesus_Teachings_Overview.txt</x:v>
      </x:c>
      <x:c r="C198" s="23" t="str">
        <x:v>2024-11-17</x:v>
      </x:c>
      <x:c r="D198" s="23" t="n">
        <x:v>3</x:v>
      </x:c>
      <x:c r="E198" s="23" t="str"/>
      <x:c r="F198" s="23" t="n">
        <x:f>IF(E198="",0,LEN(E198)-LEN(SUBSTITUTE(E198,CHAR(10),""))+1)</x:f>
        <x:v>0</x:v>
      </x:c>
      <x:c r="G198" s="23" t="str"/>
      <x:c r="H198" s="23" t="n">
        <x:f>IF(G198="",0,LEN(G198&amp;"")-LEN(SUBSTITUTE(G198&amp;"",CHAR(10),""))+1)</x:f>
        <x:v>0</x:v>
      </x:c>
      <x:c r="I198" s="23" t="str"/>
      <x:c r="J198" s="23" t="str">
        <x:v>No developed-article link recorded</x:v>
      </x:c>
      <x:c r="K198" s="23" t="str">
        <x:v>Not inferred</x:v>
      </x:c>
      <x:c r="L198" s="34" t="str">
        <x:v>07c7f7f17654c04bb61112577b88e1579cefa4c788e1a67b9d4988b25a55d409</x:v>
      </x:c>
      <x:c r="M198" s="32" t="n">
        <x:v>11871</x:v>
      </x:c>
      <x:c r="N198" s="23" t="str">
        <x:v>https://v5ma.github.io/theology-wiki/san-reader.html?page=jesus-teachings-overview</x:v>
      </x:c>
    </x:row>
    <x:row r="199" ht="56" customHeight="1">
      <x:c r="A199" s="23" t="str">
        <x:v>Jesus Teachings Pineal Gland</x:v>
      </x:c>
      <x:c r="B199" s="23" t="str">
        <x:v>gpt2026dragon1848_Jesus_Teachings_Pineal_Gland.txt</x:v>
      </x:c>
      <x:c r="C199" s="23" t="str">
        <x:v>2025-07-07</x:v>
      </x:c>
      <x:c r="D199" s="23" t="n">
        <x:v>7</x:v>
      </x:c>
      <x:c r="E199" s="23" t="str"/>
      <x:c r="F199" s="23" t="n">
        <x:f>IF(E199="",0,LEN(E199)-LEN(SUBSTITUTE(E199,CHAR(10),""))+1)</x:f>
        <x:v>0</x:v>
      </x:c>
      <x:c r="G199" s="23" t="str"/>
      <x:c r="H199" s="23" t="n">
        <x:f>IF(G199="",0,LEN(G199&amp;"")-LEN(SUBSTITUTE(G199&amp;"",CHAR(10),""))+1)</x:f>
        <x:v>0</x:v>
      </x:c>
      <x:c r="I199" s="23" t="str"/>
      <x:c r="J199" s="23" t="str">
        <x:v>No developed-article link recorded</x:v>
      </x:c>
      <x:c r="K199" s="23" t="str">
        <x:v>Not inferred</x:v>
      </x:c>
      <x:c r="L199" s="34" t="str">
        <x:v>e99ea04115df2b018beaab8c5af5c03f51630fda3c08b1a5a900a8e04f5c0b1e</x:v>
      </x:c>
      <x:c r="M199" s="32" t="n">
        <x:v>12843</x:v>
      </x:c>
      <x:c r="N199" s="23" t="str">
        <x:v>https://v5ma.github.io/theology-wiki/san-reader.html?page=jesus-teachings-pineal-gland</x:v>
      </x:c>
    </x:row>
    <x:row r="200" ht="56" customHeight="1">
      <x:c r="A200" s="23" t="str">
        <x:v>Jesus Teachings Simplified</x:v>
      </x:c>
      <x:c r="B200" s="23" t="str">
        <x:v>gpt2026dragon1070_Jesus_Teachings_Simplified.txt</x:v>
      </x:c>
      <x:c r="C200" s="23" t="str">
        <x:v>2025-03-06</x:v>
      </x:c>
      <x:c r="D200" s="23" t="n">
        <x:v>80</x:v>
      </x:c>
      <x:c r="E200" s="23" t="str"/>
      <x:c r="F200" s="23" t="n">
        <x:f>IF(E200="",0,LEN(E200)-LEN(SUBSTITUTE(E200,CHAR(10),""))+1)</x:f>
        <x:v>0</x:v>
      </x:c>
      <x:c r="G200" s="23" t="str"/>
      <x:c r="H200" s="23" t="n">
        <x:f>IF(G200="",0,LEN(G200&amp;"")-LEN(SUBSTITUTE(G200&amp;"",CHAR(10),""))+1)</x:f>
        <x:v>0</x:v>
      </x:c>
      <x:c r="I200" s="23" t="str"/>
      <x:c r="J200" s="23" t="str">
        <x:v>No developed-article link recorded</x:v>
      </x:c>
      <x:c r="K200" s="23" t="str">
        <x:v>Not inferred</x:v>
      </x:c>
      <x:c r="L200" s="34" t="str">
        <x:v>96ef3092ba64b24c27eb68a35c7baa54e0d0c752b775b0e90e0f9756548f57bf</x:v>
      </x:c>
      <x:c r="M200" s="32" t="n">
        <x:v>42955</x:v>
      </x:c>
      <x:c r="N200" s="23" t="str">
        <x:v>https://v5ma.github.io/theology-wiki/san-reader.html?page=jesus-teachings-simplified</x:v>
      </x:c>
    </x:row>
    <x:row r="201" ht="56" customHeight="1">
      <x:c r="A201" s="23" t="str">
        <x:v>Jesus Temple Sacrifices Debate</x:v>
      </x:c>
      <x:c r="B201" s="23" t="str">
        <x:v>gpt2026dragon1690_Jesus_Temple_Sacrifices_Debate.txt</x:v>
      </x:c>
      <x:c r="C201" s="23" t="str">
        <x:v>2025-06-17</x:v>
      </x:c>
      <x:c r="D201" s="23" t="n">
        <x:v>4</x:v>
      </x:c>
      <x:c r="E201" s="23" t="str"/>
      <x:c r="F201" s="23" t="n">
        <x:f>IF(E201="",0,LEN(E201)-LEN(SUBSTITUTE(E201,CHAR(10),""))+1)</x:f>
        <x:v>0</x:v>
      </x:c>
      <x:c r="G201" s="23" t="str"/>
      <x:c r="H201" s="23" t="n">
        <x:f>IF(G201="",0,LEN(G201&amp;"")-LEN(SUBSTITUTE(G201&amp;"",CHAR(10),""))+1)</x:f>
        <x:v>0</x:v>
      </x:c>
      <x:c r="I201" s="23" t="str"/>
      <x:c r="J201" s="23" t="str">
        <x:v>No developed-article link recorded</x:v>
      </x:c>
      <x:c r="K201" s="23" t="str">
        <x:v>Not inferred</x:v>
      </x:c>
      <x:c r="L201" s="34" t="str">
        <x:v>c395ac04206c351a36be093e189b07b35e107d4fe79efd3b8d7868b4e4fcda50</x:v>
      </x:c>
      <x:c r="M201" s="32" t="n">
        <x:v>8665</x:v>
      </x:c>
      <x:c r="N201" s="23" t="str">
        <x:v>https://v5ma.github.io/theology-wiki/san-reader.html?page=jesus-temple-sacrifices-debate</x:v>
      </x:c>
    </x:row>
    <x:row r="202" ht="56" customHeight="1">
      <x:c r="A202" s="23" t="str">
        <x:v>Jesus timeline analysis</x:v>
      </x:c>
      <x:c r="B202" s="23" t="str">
        <x:v>gpt2026dragon2422_Jesus_timeline_analysis.txt</x:v>
      </x:c>
      <x:c r="C202" s="23" t="str">
        <x:v>2025-09-21</x:v>
      </x:c>
      <x:c r="D202" s="23" t="n">
        <x:v>3</x:v>
      </x:c>
      <x:c r="E202" s="23" t="str"/>
      <x:c r="F202" s="23" t="n">
        <x:f>IF(E202="",0,LEN(E202)-LEN(SUBSTITUTE(E202,CHAR(10),""))+1)</x:f>
        <x:v>0</x:v>
      </x:c>
      <x:c r="G202" s="23" t="str"/>
      <x:c r="H202" s="23" t="n">
        <x:f>IF(G202="",0,LEN(G202&amp;"")-LEN(SUBSTITUTE(G202&amp;"",CHAR(10),""))+1)</x:f>
        <x:v>0</x:v>
      </x:c>
      <x:c r="I202" s="23" t="str"/>
      <x:c r="J202" s="23" t="str">
        <x:v>No developed-article link recorded</x:v>
      </x:c>
      <x:c r="K202" s="23" t="str">
        <x:v>Not inferred</x:v>
      </x:c>
      <x:c r="L202" s="34" t="str">
        <x:v>2f5a3078804956f2c7113e8527b8de3408ff23aa52ff8075f447d2ddf6cad39d</x:v>
      </x:c>
      <x:c r="M202" s="32" t="n">
        <x:v>12796</x:v>
      </x:c>
      <x:c r="N202" s="23" t="str">
        <x:v>https://v5ma.github.io/theology-wiki/san-reader.html?page=jesus-timeline-analysis</x:v>
      </x:c>
    </x:row>
    <x:row r="203" ht="56" customHeight="1">
      <x:c r="A203" s="23" t="str">
        <x:v>Jesus vs Ahura Mazda</x:v>
      </x:c>
      <x:c r="B203" s="23" t="str">
        <x:v>gpt2026dragon1434_Jesus_vs_Ahura_Mazda.txt</x:v>
      </x:c>
      <x:c r="C203" s="23" t="str">
        <x:v>2025-05-05</x:v>
      </x:c>
      <x:c r="D203" s="23" t="n">
        <x:v>6</x:v>
      </x:c>
      <x:c r="E203" s="23" t="str"/>
      <x:c r="F203" s="23" t="n">
        <x:f>IF(E203="",0,LEN(E203)-LEN(SUBSTITUTE(E203,CHAR(10),""))+1)</x:f>
        <x:v>0</x:v>
      </x:c>
      <x:c r="G203" s="23" t="str"/>
      <x:c r="H203" s="23" t="n">
        <x:f>IF(G203="",0,LEN(G203&amp;"")-LEN(SUBSTITUTE(G203&amp;"",CHAR(10),""))+1)</x:f>
        <x:v>0</x:v>
      </x:c>
      <x:c r="I203" s="23" t="str"/>
      <x:c r="J203" s="23" t="str">
        <x:v>No developed-article link recorded</x:v>
      </x:c>
      <x:c r="K203" s="23" t="str">
        <x:v>Not inferred</x:v>
      </x:c>
      <x:c r="L203" s="34" t="str">
        <x:v>01fd39ce732860d54092641c1d36e2f682fcfb867d1a65341e7e2c8ecee83e12</x:v>
      </x:c>
      <x:c r="M203" s="32" t="n">
        <x:v>10185</x:v>
      </x:c>
      <x:c r="N203" s="23" t="str">
        <x:v>https://v5ma.github.io/theology-wiki/san-reader.html?page=jesus-vs-ahura-mazda</x:v>
      </x:c>
    </x:row>
    <x:row r="204" ht="56" customHeight="1">
      <x:c r="A204" s="23" t="str">
        <x:v>Jesus vs Paul on Salvation</x:v>
      </x:c>
      <x:c r="B204" s="23" t="str">
        <x:v>gpt2026dragon1581_Jesus_vs_Paul_on_Salvation.txt</x:v>
      </x:c>
      <x:c r="C204" s="23" t="str">
        <x:v>2025-05-29</x:v>
      </x:c>
      <x:c r="D204" s="23" t="n">
        <x:v>8</x:v>
      </x:c>
      <x:c r="E204" s="23" t="str"/>
      <x:c r="F204" s="23" t="n">
        <x:f>IF(E204="",0,LEN(E204)-LEN(SUBSTITUTE(E204,CHAR(10),""))+1)</x:f>
        <x:v>0</x:v>
      </x:c>
      <x:c r="G204" s="23" t="str"/>
      <x:c r="H204" s="23" t="n">
        <x:f>IF(G204="",0,LEN(G204&amp;"")-LEN(SUBSTITUTE(G204&amp;"",CHAR(10),""))+1)</x:f>
        <x:v>0</x:v>
      </x:c>
      <x:c r="I204" s="23" t="str"/>
      <x:c r="J204" s="23" t="str">
        <x:v>No developed-article link recorded</x:v>
      </x:c>
      <x:c r="K204" s="23" t="str">
        <x:v>Not inferred</x:v>
      </x:c>
      <x:c r="L204" s="34" t="str">
        <x:v>8ad718826ae2f27937061495486913a453302e3b2ead42b5f00af3a3fdadcfd7</x:v>
      </x:c>
      <x:c r="M204" s="32" t="n">
        <x:v>8625</x:v>
      </x:c>
      <x:c r="N204" s="23" t="str">
        <x:v>https://v5ma.github.io/theology-wiki/san-reader.html?page=jesus-vs-paul-on-salvation</x:v>
      </x:c>
    </x:row>
    <x:row r="205" ht="56" customHeight="1">
      <x:c r="A205" s="23" t="str">
        <x:v>Jesus vs Paul vs Gnosticism</x:v>
      </x:c>
      <x:c r="B205" s="23" t="str">
        <x:v>gpt2026dragon1519_Jesus_vs_Paul_vs_Gnosticism.txt</x:v>
      </x:c>
      <x:c r="C205" s="23" t="str">
        <x:v>2025-05-18</x:v>
      </x:c>
      <x:c r="D205" s="23" t="n">
        <x:v>17</x:v>
      </x:c>
      <x:c r="E205" s="23" t="str"/>
      <x:c r="F205" s="23" t="n">
        <x:f>IF(E205="",0,LEN(E205)-LEN(SUBSTITUTE(E205,CHAR(10),""))+1)</x:f>
        <x:v>0</x:v>
      </x:c>
      <x:c r="G205" s="23" t="str"/>
      <x:c r="H205" s="23" t="n">
        <x:f>IF(G205="",0,LEN(G205&amp;"")-LEN(SUBSTITUTE(G205&amp;"",CHAR(10),""))+1)</x:f>
        <x:v>0</x:v>
      </x:c>
      <x:c r="I205" s="23" t="str"/>
      <x:c r="J205" s="23" t="str">
        <x:v>No developed-article link recorded</x:v>
      </x:c>
      <x:c r="K205" s="23" t="str">
        <x:v>Not inferred</x:v>
      </x:c>
      <x:c r="L205" s="34" t="str">
        <x:v>67c6aec5854ef3ab5cf4332fb5e4600d89329cd05acea3913416a267386b0811</x:v>
      </x:c>
      <x:c r="M205" s="32" t="n">
        <x:v>15209</x:v>
      </x:c>
      <x:c r="N205" s="23" t="str">
        <x:v>https://v5ma.github.io/theology-wiki/san-reader.html?page=jesus-vs-paul-vs-gnosticism</x:v>
      </x:c>
    </x:row>
    <x:row r="206" ht="56" customHeight="1">
      <x:c r="A206" s="23" t="str">
        <x:v>Jesus vs Yahweh Debate</x:v>
      </x:c>
      <x:c r="B206" s="23" t="str">
        <x:v>gpt2026dragon1402_Jesus_vs_Yahweh_Debate.txt</x:v>
      </x:c>
      <x:c r="C206" s="23" t="str">
        <x:v>2025-04-29</x:v>
      </x:c>
      <x:c r="D206" s="23" t="n">
        <x:v>15</x:v>
      </x:c>
      <x:c r="E206" s="23" t="str"/>
      <x:c r="F206" s="23" t="n">
        <x:f>IF(E206="",0,LEN(E206)-LEN(SUBSTITUTE(E206,CHAR(10),""))+1)</x:f>
        <x:v>0</x:v>
      </x:c>
      <x:c r="G206" s="23" t="str"/>
      <x:c r="H206" s="23" t="n">
        <x:f>IF(G206="",0,LEN(G206&amp;"")-LEN(SUBSTITUTE(G206&amp;"",CHAR(10),""))+1)</x:f>
        <x:v>0</x:v>
      </x:c>
      <x:c r="I206" s="23" t="str"/>
      <x:c r="J206" s="23" t="str">
        <x:v>No developed-article link recorded</x:v>
      </x:c>
      <x:c r="K206" s="23" t="str">
        <x:v>Not inferred</x:v>
      </x:c>
      <x:c r="L206" s="34" t="str">
        <x:v>539a214385e309baf1a001d4f72c36526ab366dc3a02a1bae9be810cab7a65ce</x:v>
      </x:c>
      <x:c r="M206" s="32" t="n">
        <x:v>35102</x:v>
      </x:c>
      <x:c r="N206" s="23" t="str">
        <x:v>https://v5ma.github.io/theology-wiki/san-reader.html?page=jesus-vs-yahweh-debate</x:v>
      </x:c>
    </x:row>
    <x:row r="207" ht="56" customHeight="1">
      <x:c r="A207" s="23" t="str">
        <x:v>Jesus Way Origins</x:v>
      </x:c>
      <x:c r="B207" s="23" t="str">
        <x:v>gpt2026dragon1621_Jesus_Way_Origins.txt</x:v>
      </x:c>
      <x:c r="C207" s="23" t="str">
        <x:v>2025-06-03</x:v>
      </x:c>
      <x:c r="D207" s="23" t="n">
        <x:v>10</x:v>
      </x:c>
      <x:c r="E207" s="23" t="str"/>
      <x:c r="F207" s="23" t="n">
        <x:f>IF(E207="",0,LEN(E207)-LEN(SUBSTITUTE(E207,CHAR(10),""))+1)</x:f>
        <x:v>0</x:v>
      </x:c>
      <x:c r="G207" s="23" t="str"/>
      <x:c r="H207" s="23" t="n">
        <x:f>IF(G207="",0,LEN(G207&amp;"")-LEN(SUBSTITUTE(G207&amp;"",CHAR(10),""))+1)</x:f>
        <x:v>0</x:v>
      </x:c>
      <x:c r="I207" s="23" t="str"/>
      <x:c r="J207" s="23" t="str">
        <x:v>No developed-article link recorded</x:v>
      </x:c>
      <x:c r="K207" s="23" t="str">
        <x:v>Not inferred</x:v>
      </x:c>
      <x:c r="L207" s="34" t="str">
        <x:v>4d2ae0d2351a6f6d974818afb0b0de77ba7e15a3bd5b443b4eeb2893454a59fa</x:v>
      </x:c>
      <x:c r="M207" s="32" t="n">
        <x:v>68015</x:v>
      </x:c>
      <x:c r="N207" s="23" t="str">
        <x:v>https://v5ma.github.io/theology-wiki/san-reader.html?page=jesus-way-origins</x:v>
      </x:c>
    </x:row>
    <x:row r="208" ht="56" customHeight="1">
      <x:c r="A208" s="23" t="str">
        <x:v>Jewish Apocalyptic Repair Timeline</x:v>
      </x:c>
      <x:c r="B208" s="23" t="str">
        <x:v>gpt2026dragon1912_Jewish_Apocalyptic_Repair_Timeline.txt</x:v>
      </x:c>
      <x:c r="C208" s="23" t="str">
        <x:v>2025-07-16</x:v>
      </x:c>
      <x:c r="D208" s="23" t="n">
        <x:v>4</x:v>
      </x:c>
      <x:c r="E208" s="23" t="str">
        <x:v>apocalyptic-repair-theology
gnosticism-and-temple-trauma
tor-thomas-and-gnostic-transmission
manuscripts-movements-and-survival</x:v>
      </x:c>
      <x:c r="F208" s="23" t="n">
        <x:f>IF(E208="",0,LEN(E208)-LEN(SUBSTITUTE(E208,CHAR(10),""))+1)</x:f>
        <x:v>4</x:v>
      </x:c>
      <x:c r="G208" s="23" t="str">
        <x:v>Turn 1</x:v>
      </x:c>
      <x:c r="H208" s="23" t="n">
        <x:f>IF(G208="",0,LEN(G208&amp;"")-LEN(SUBSTITUTE(G208&amp;"",CHAR(10),""))+1)</x:f>
        <x:v>1</x:v>
      </x:c>
      <x:c r="I208" s="23" t="str">
        <x:v>thomas
trauma
repair-practice
continuing</x:v>
      </x:c>
      <x:c r="J208" s="23" t="str">
        <x:v>Linked to developed article</x:v>
      </x:c>
      <x:c r="K208" s="23" t="str">
        <x:v>Not inferred</x:v>
      </x:c>
      <x:c r="L208" s="34" t="str">
        <x:v>c0c20975bce6245177fbdddd904238961580ed68172bf4502025182a8bd3fa66</x:v>
      </x:c>
      <x:c r="M208" s="32" t="n">
        <x:v>34332</x:v>
      </x:c>
      <x:c r="N208" s="23" t="str">
        <x:v>https://v5ma.github.io/theology-wiki/san-reader.html?page=jewish-apocalyptic-repair-timeline</x:v>
      </x:c>
    </x:row>
    <x:row r="209" ht="56" customHeight="1">
      <x:c r="A209" s="23" t="str">
        <x:v>Jews and Canaanites Origins</x:v>
      </x:c>
      <x:c r="B209" s="23" t="str">
        <x:v>gpt2026dragon1009_Jews_and_Canaanites_Origins.txt</x:v>
      </x:c>
      <x:c r="C209" s="23" t="str">
        <x:v>2025-02-27</x:v>
      </x:c>
      <x:c r="D209" s="23" t="n">
        <x:v>2</x:v>
      </x:c>
      <x:c r="E209" s="23" t="str">
        <x:v>el-in-ancient-egypt</x:v>
      </x:c>
      <x:c r="F209" s="23" t="n">
        <x:f>IF(E209="",0,LEN(E209)-LEN(SUBSTITUTE(E209,CHAR(10),""))+1)</x:f>
        <x:v>1</x:v>
      </x:c>
      <x:c r="G209" s="23" t="str"/>
      <x:c r="H209" s="23" t="n">
        <x:f>IF(G209="",0,LEN(G209&amp;"")-LEN(SUBSTITUTE(G209&amp;"",CHAR(10),""))+1)</x:f>
        <x:v>0</x:v>
      </x:c>
      <x:c r="I209" s="23" t="str">
        <x:v>names</x:v>
      </x:c>
      <x:c r="J209" s="23" t="str">
        <x:v>Linked to developed article</x:v>
      </x:c>
      <x:c r="K209" s="23" t="str">
        <x:v>Not inferred</x:v>
      </x:c>
      <x:c r="L209" s="34" t="str">
        <x:v>e4e081499d892edb414439061341d13d915372fd7a67820a724a145ae1d91bc8</x:v>
      </x:c>
      <x:c r="M209" s="32" t="n">
        <x:v>7037</x:v>
      </x:c>
      <x:c r="N209" s="23" t="str">
        <x:v>https://v5ma.github.io/theology-wiki/san-reader.html?page=jews-and-canaanites-origins</x:v>
      </x:c>
    </x:row>
    <x:row r="210" ht="56" customHeight="1">
      <x:c r="A210" s="23" t="str">
        <x:v>Johannine Theology Overview</x:v>
      </x:c>
      <x:c r="B210" s="23" t="str">
        <x:v>gpt2026dragon947_Johannine_Theology_Overview.txt</x:v>
      </x:c>
      <x:c r="C210" s="23" t="str">
        <x:v>2025-02-15</x:v>
      </x:c>
      <x:c r="D210" s="23" t="n">
        <x:v>16</x:v>
      </x:c>
      <x:c r="E210" s="23" t="str"/>
      <x:c r="F210" s="23" t="n">
        <x:f>IF(E210="",0,LEN(E210)-LEN(SUBSTITUTE(E210,CHAR(10),""))+1)</x:f>
        <x:v>0</x:v>
      </x:c>
      <x:c r="G210" s="23" t="str"/>
      <x:c r="H210" s="23" t="n">
        <x:f>IF(G210="",0,LEN(G210&amp;"")-LEN(SUBSTITUTE(G210&amp;"",CHAR(10),""))+1)</x:f>
        <x:v>0</x:v>
      </x:c>
      <x:c r="I210" s="23" t="str"/>
      <x:c r="J210" s="23" t="str">
        <x:v>No developed-article link recorded</x:v>
      </x:c>
      <x:c r="K210" s="23" t="str">
        <x:v>Not inferred</x:v>
      </x:c>
      <x:c r="L210" s="34" t="str">
        <x:v>b74108fd799088aa9a5926b8e01e2835beeb961574c15004760fb74765dc450e</x:v>
      </x:c>
      <x:c r="M210" s="32" t="n">
        <x:v>17103</x:v>
      </x:c>
      <x:c r="N210" s="23" t="str">
        <x:v>https://v5ma.github.io/theology-wiki/san-reader.html?page=johannine-theology-overview</x:v>
      </x:c>
    </x:row>
    <x:row r="211" ht="56" customHeight="1">
      <x:c r="A211" s="23" t="str">
        <x:v>Joke Style Analysis</x:v>
      </x:c>
      <x:c r="B211" s="23" t="str">
        <x:v>gpt2026dragon1386_Joke_Style_Analysis.txt</x:v>
      </x:c>
      <x:c r="C211" s="23" t="str">
        <x:v>2025-04-27</x:v>
      </x:c>
      <x:c r="D211" s="23" t="n">
        <x:v>20</x:v>
      </x:c>
      <x:c r="E211" s="23" t="str"/>
      <x:c r="F211" s="23" t="n">
        <x:f>IF(E211="",0,LEN(E211)-LEN(SUBSTITUTE(E211,CHAR(10),""))+1)</x:f>
        <x:v>0</x:v>
      </x:c>
      <x:c r="G211" s="23" t="str"/>
      <x:c r="H211" s="23" t="n">
        <x:f>IF(G211="",0,LEN(G211&amp;"")-LEN(SUBSTITUTE(G211&amp;"",CHAR(10),""))+1)</x:f>
        <x:v>0</x:v>
      </x:c>
      <x:c r="I211" s="23" t="str"/>
      <x:c r="J211" s="23" t="str">
        <x:v>No developed-article link recorded</x:v>
      </x:c>
      <x:c r="K211" s="23" t="str">
        <x:v>Not inferred</x:v>
      </x:c>
      <x:c r="L211" s="34" t="str">
        <x:v>755490f53e0eb7bc45769c1db9b54dde70acfdc259b5852e83fcc2f716f2ad3d</x:v>
      </x:c>
      <x:c r="M211" s="32" t="n">
        <x:v>15870</x:v>
      </x:c>
      <x:c r="N211" s="23" t="str">
        <x:v>https://v5ma.github.io/theology-wiki/san-reader.html?page=joke-style-analysis</x:v>
      </x:c>
    </x:row>
    <x:row r="212" ht="56" customHeight="1">
      <x:c r="A212" s="23" t="str">
        <x:v>Judaism History Debate</x:v>
      </x:c>
      <x:c r="B212" s="23" t="str">
        <x:v>gpt2026dragon3025_Judaism_History_Debate.txt</x:v>
      </x:c>
      <x:c r="C212" s="23" t="str">
        <x:v>2026-01-22</x:v>
      </x:c>
      <x:c r="D212" s="23" t="n">
        <x:v>2</x:v>
      </x:c>
      <x:c r="E212" s="23" t="str"/>
      <x:c r="F212" s="23" t="n">
        <x:f>IF(E212="",0,LEN(E212)-LEN(SUBSTITUTE(E212,CHAR(10),""))+1)</x:f>
        <x:v>0</x:v>
      </x:c>
      <x:c r="G212" s="23" t="str"/>
      <x:c r="H212" s="23" t="n">
        <x:f>IF(G212="",0,LEN(G212&amp;"")-LEN(SUBSTITUTE(G212&amp;"",CHAR(10),""))+1)</x:f>
        <x:v>0</x:v>
      </x:c>
      <x:c r="I212" s="23" t="str"/>
      <x:c r="J212" s="23" t="str">
        <x:v>No developed-article link recorded</x:v>
      </x:c>
      <x:c r="K212" s="23" t="str">
        <x:v>Not inferred</x:v>
      </x:c>
      <x:c r="L212" s="34" t="str">
        <x:v>1cffd54068878c13d1010ae5d873d6c9efe3b348672a2cb725207b8d28344c6d</x:v>
      </x:c>
      <x:c r="M212" s="32" t="n">
        <x:v>6226</x:v>
      </x:c>
      <x:c r="N212" s="23" t="str">
        <x:v>https://v5ma.github.io/theology-wiki/san-reader.html?page=judaism-history-debate</x:v>
      </x:c>
    </x:row>
    <x:row r="213" ht="56" customHeight="1">
      <x:c r="A213" s="23" t="str">
        <x:v>Judas Gnostic View Explained</x:v>
      </x:c>
      <x:c r="B213" s="23" t="str">
        <x:v>gpt2026dragon1511_Judas_Gnostic_View_Explained.txt</x:v>
      </x:c>
      <x:c r="C213" s="23" t="str">
        <x:v>2025-05-17</x:v>
      </x:c>
      <x:c r="D213" s="23" t="n">
        <x:v>8</x:v>
      </x:c>
      <x:c r="E213" s="23" t="str"/>
      <x:c r="F213" s="23" t="n">
        <x:f>IF(E213="",0,LEN(E213)-LEN(SUBSTITUTE(E213,CHAR(10),""))+1)</x:f>
        <x:v>0</x:v>
      </x:c>
      <x:c r="G213" s="23" t="str"/>
      <x:c r="H213" s="23" t="n">
        <x:f>IF(G213="",0,LEN(G213&amp;"")-LEN(SUBSTITUTE(G213&amp;"",CHAR(10),""))+1)</x:f>
        <x:v>0</x:v>
      </x:c>
      <x:c r="I213" s="23" t="str"/>
      <x:c r="J213" s="23" t="str">
        <x:v>No developed-article link recorded</x:v>
      </x:c>
      <x:c r="K213" s="23" t="str">
        <x:v>Not inferred</x:v>
      </x:c>
      <x:c r="L213" s="34" t="str">
        <x:v>5658df82ab7f6554fa83a27fd2c621bd08ec342c87faceed88def14907a1155d</x:v>
      </x:c>
      <x:c r="M213" s="32" t="n">
        <x:v>14392</x:v>
      </x:c>
      <x:c r="N213" s="23" t="str">
        <x:v>https://v5ma.github.io/theology-wiki/san-reader.html?page=judas-gnostic-view-explained</x:v>
      </x:c>
    </x:row>
    <x:row r="214" ht="56" customHeight="1">
      <x:c r="A214" s="23" t="str">
        <x:v>Jungian dream analysis</x:v>
      </x:c>
      <x:c r="B214" s="23" t="str">
        <x:v>gpt2026dragon2834_Jungian_dream_analysis.txt</x:v>
      </x:c>
      <x:c r="C214" s="23" t="str">
        <x:v>2025-12-08</x:v>
      </x:c>
      <x:c r="D214" s="23" t="n">
        <x:v>9</x:v>
      </x:c>
      <x:c r="E214" s="23" t="str"/>
      <x:c r="F214" s="23" t="n">
        <x:f>IF(E214="",0,LEN(E214)-LEN(SUBSTITUTE(E214,CHAR(10),""))+1)</x:f>
        <x:v>0</x:v>
      </x:c>
      <x:c r="G214" s="23" t="str"/>
      <x:c r="H214" s="23" t="n">
        <x:f>IF(G214="",0,LEN(G214&amp;"")-LEN(SUBSTITUTE(G214&amp;"",CHAR(10),""))+1)</x:f>
        <x:v>0</x:v>
      </x:c>
      <x:c r="I214" s="23" t="str"/>
      <x:c r="J214" s="23" t="str">
        <x:v>No developed-article link recorded</x:v>
      </x:c>
      <x:c r="K214" s="23" t="str">
        <x:v>Not inferred</x:v>
      </x:c>
      <x:c r="L214" s="34" t="str">
        <x:v>f53f569e842356552882fd409689aa77ca206b3f8d7e78b1f3b1561665aef715</x:v>
      </x:c>
      <x:c r="M214" s="32" t="n">
        <x:v>42384</x:v>
      </x:c>
      <x:c r="N214" s="23" t="str">
        <x:v>https://v5ma.github.io/theology-wiki/san-reader.html?page=jungian-dream-analysis</x:v>
      </x:c>
    </x:row>
    <x:row r="215" ht="56" customHeight="1">
      <x:c r="A215" s="23" t="str">
        <x:v>Kabbalah origins question</x:v>
      </x:c>
      <x:c r="B215" s="23" t="str">
        <x:v>gpt2026dragon2669_Kabbalah_origins_question.txt</x:v>
      </x:c>
      <x:c r="C215" s="23" t="str">
        <x:v>2025-10-21</x:v>
      </x:c>
      <x:c r="D215" s="23" t="n">
        <x:v>3</x:v>
      </x:c>
      <x:c r="E215" s="23" t="str"/>
      <x:c r="F215" s="23" t="n">
        <x:f>IF(E215="",0,LEN(E215)-LEN(SUBSTITUTE(E215,CHAR(10),""))+1)</x:f>
        <x:v>0</x:v>
      </x:c>
      <x:c r="G215" s="23" t="str"/>
      <x:c r="H215" s="23" t="n">
        <x:f>IF(G215="",0,LEN(G215&amp;"")-LEN(SUBSTITUTE(G215&amp;"",CHAR(10),""))+1)</x:f>
        <x:v>0</x:v>
      </x:c>
      <x:c r="I215" s="23" t="str"/>
      <x:c r="J215" s="23" t="str">
        <x:v>No developed-article link recorded</x:v>
      </x:c>
      <x:c r="K215" s="23" t="str">
        <x:v>Not inferred</x:v>
      </x:c>
      <x:c r="L215" s="34" t="str">
        <x:v>c4f49952db5a1c9bccf4fafbc54a224f89685856c7cf11aba7fe375644320abb</x:v>
      </x:c>
      <x:c r="M215" s="32" t="n">
        <x:v>7983</x:v>
      </x:c>
      <x:c r="N215" s="23" t="str">
        <x:v>https://v5ma.github.io/theology-wiki/san-reader.html?page=kabbalah-origins-question</x:v>
      </x:c>
    </x:row>
    <x:row r="216" ht="56" customHeight="1">
      <x:c r="A216" s="23" t="str">
        <x:v>Kirk racism equivalence analysis</x:v>
      </x:c>
      <x:c r="B216" s="23" t="str">
        <x:v>gpt2026dragon2401_Kirk_racism_equivalence_analysis.txt</x:v>
      </x:c>
      <x:c r="C216" s="23" t="str">
        <x:v>2025-09-16</x:v>
      </x:c>
      <x:c r="D216" s="23" t="n">
        <x:v>3</x:v>
      </x:c>
      <x:c r="E216" s="23" t="str"/>
      <x:c r="F216" s="23" t="n">
        <x:f>IF(E216="",0,LEN(E216)-LEN(SUBSTITUTE(E216,CHAR(10),""))+1)</x:f>
        <x:v>0</x:v>
      </x:c>
      <x:c r="G216" s="23" t="str"/>
      <x:c r="H216" s="23" t="n">
        <x:f>IF(G216="",0,LEN(G216&amp;"")-LEN(SUBSTITUTE(G216&amp;"",CHAR(10),""))+1)</x:f>
        <x:v>0</x:v>
      </x:c>
      <x:c r="I216" s="23" t="str"/>
      <x:c r="J216" s="23" t="str">
        <x:v>No developed-article link recorded</x:v>
      </x:c>
      <x:c r="K216" s="23" t="str">
        <x:v>Not inferred</x:v>
      </x:c>
      <x:c r="L216" s="34" t="str">
        <x:v>e116404da5fae54361b4043c8c613644c652b58f8ac84d72b780d187c0965002</x:v>
      </x:c>
      <x:c r="M216" s="32" t="n">
        <x:v>32035</x:v>
      </x:c>
      <x:c r="N216" s="23" t="str">
        <x:v>https://v5ma.github.io/theology-wiki/san-reader.html?page=kirk-racism-equivalence-analysis</x:v>
      </x:c>
    </x:row>
    <x:row r="217" ht="56" customHeight="1">
      <x:c r="A217" s="23" t="str">
        <x:v>Kubrick Gita Verse Removal</x:v>
      </x:c>
      <x:c r="B217" s="23" t="str">
        <x:v>gpt2026dragon1114_Kubrick_Gita_Verse_Removal.txt</x:v>
      </x:c>
      <x:c r="C217" s="23" t="str">
        <x:v>2025-03-19</x:v>
      </x:c>
      <x:c r="D217" s="23" t="n">
        <x:v>38</x:v>
      </x:c>
      <x:c r="E217" s="23" t="str"/>
      <x:c r="F217" s="23" t="n">
        <x:f>IF(E217="",0,LEN(E217)-LEN(SUBSTITUTE(E217,CHAR(10),""))+1)</x:f>
        <x:v>0</x:v>
      </x:c>
      <x:c r="G217" s="23" t="str"/>
      <x:c r="H217" s="23" t="n">
        <x:f>IF(G217="",0,LEN(G217&amp;"")-LEN(SUBSTITUTE(G217&amp;"",CHAR(10),""))+1)</x:f>
        <x:v>0</x:v>
      </x:c>
      <x:c r="I217" s="23" t="str"/>
      <x:c r="J217" s="23" t="str">
        <x:v>No developed-article link recorded</x:v>
      </x:c>
      <x:c r="K217" s="23" t="str">
        <x:v>Not inferred</x:v>
      </x:c>
      <x:c r="L217" s="34" t="str">
        <x:v>2205437142fcc816a867412a0b85518a7605b77a4bf73b2019014dfc09d375cd</x:v>
      </x:c>
      <x:c r="M217" s="32" t="n">
        <x:v>78593</x:v>
      </x:c>
      <x:c r="N217" s="23" t="str">
        <x:v>https://v5ma.github.io/theology-wiki/san-reader.html?page=kubrick-gita-verse-removal</x:v>
      </x:c>
    </x:row>
    <x:row r="218" ht="56" customHeight="1">
      <x:c r="A218" s="23" t="str">
        <x:v>LA Museums Destroyed in Fire</x:v>
      </x:c>
      <x:c r="B218" s="23" t="str">
        <x:v>gpt2026dragon644_LA_Museums_Destroyed_in_Fire.txt</x:v>
      </x:c>
      <x:c r="C218" s="23" t="str">
        <x:v>2025-01-10</x:v>
      </x:c>
      <x:c r="D218" s="23" t="n">
        <x:v>4</x:v>
      </x:c>
      <x:c r="E218" s="23" t="str"/>
      <x:c r="F218" s="23" t="n">
        <x:f>IF(E218="",0,LEN(E218)-LEN(SUBSTITUTE(E218,CHAR(10),""))+1)</x:f>
        <x:v>0</x:v>
      </x:c>
      <x:c r="G218" s="23" t="str"/>
      <x:c r="H218" s="23" t="n">
        <x:f>IF(G218="",0,LEN(G218&amp;"")-LEN(SUBSTITUTE(G218&amp;"",CHAR(10),""))+1)</x:f>
        <x:v>0</x:v>
      </x:c>
      <x:c r="I218" s="23" t="str"/>
      <x:c r="J218" s="23" t="str">
        <x:v>No developed-article link recorded</x:v>
      </x:c>
      <x:c r="K218" s="23" t="str">
        <x:v>Not inferred</x:v>
      </x:c>
      <x:c r="L218" s="34" t="str">
        <x:v>dc8768ac6afe1ce8d78515b4f9418933229871c67f33ce715a9628f9d938aa1e</x:v>
      </x:c>
      <x:c r="M218" s="32" t="n">
        <x:v>5420</x:v>
      </x:c>
      <x:c r="N218" s="23" t="str">
        <x:v>https://v5ma.github.io/theology-wiki/san-reader.html?page=la-museums-destroyed-in-fire</x:v>
      </x:c>
    </x:row>
    <x:row r="219" ht="56" customHeight="1">
      <x:c r="A219" s="23" t="str">
        <x:v>Law of Attraction analysis</x:v>
      </x:c>
      <x:c r="B219" s="23" t="str">
        <x:v>gpt2026dragon2787_Law_of_Attraction_analysis.txt</x:v>
      </x:c>
      <x:c r="C219" s="23" t="str">
        <x:v>2025-11-21</x:v>
      </x:c>
      <x:c r="D219" s="23" t="n">
        <x:v>2</x:v>
      </x:c>
      <x:c r="E219" s="23" t="str"/>
      <x:c r="F219" s="23" t="n">
        <x:f>IF(E219="",0,LEN(E219)-LEN(SUBSTITUTE(E219,CHAR(10),""))+1)</x:f>
        <x:v>0</x:v>
      </x:c>
      <x:c r="G219" s="23" t="str"/>
      <x:c r="H219" s="23" t="n">
        <x:f>IF(G219="",0,LEN(G219&amp;"")-LEN(SUBSTITUTE(G219&amp;"",CHAR(10),""))+1)</x:f>
        <x:v>0</x:v>
      </x:c>
      <x:c r="I219" s="23" t="str"/>
      <x:c r="J219" s="23" t="str">
        <x:v>No developed-article link recorded</x:v>
      </x:c>
      <x:c r="K219" s="23" t="str">
        <x:v>Not inferred</x:v>
      </x:c>
      <x:c r="L219" s="34" t="str">
        <x:v>adcc72ed937814e1b4dbd5ff21e55e0104f3f5391fd22873e2abb88dac29afdc</x:v>
      </x:c>
      <x:c r="M219" s="32" t="n">
        <x:v>5339</x:v>
      </x:c>
      <x:c r="N219" s="23" t="str">
        <x:v>https://v5ma.github.io/theology-wiki/san-reader.html?page=law-of-attraction-analysis</x:v>
      </x:c>
    </x:row>
    <x:row r="220" ht="56" customHeight="1">
      <x:c r="A220" s="23" t="str">
        <x:v>Law of Attraction and Magic</x:v>
      </x:c>
      <x:c r="B220" s="23" t="str">
        <x:v>gpt2026dragon1475_Law_of_Attraction_and_Magic.txt</x:v>
      </x:c>
      <x:c r="C220" s="23" t="str">
        <x:v>2025-05-12</x:v>
      </x:c>
      <x:c r="D220" s="23" t="n">
        <x:v>32</x:v>
      </x:c>
      <x:c r="E220" s="23" t="str"/>
      <x:c r="F220" s="23" t="n">
        <x:f>IF(E220="",0,LEN(E220)-LEN(SUBSTITUTE(E220,CHAR(10),""))+1)</x:f>
        <x:v>0</x:v>
      </x:c>
      <x:c r="G220" s="23" t="str"/>
      <x:c r="H220" s="23" t="n">
        <x:f>IF(G220="",0,LEN(G220&amp;"")-LEN(SUBSTITUTE(G220&amp;"",CHAR(10),""))+1)</x:f>
        <x:v>0</x:v>
      </x:c>
      <x:c r="I220" s="23" t="str"/>
      <x:c r="J220" s="23" t="str">
        <x:v>No developed-article link recorded</x:v>
      </x:c>
      <x:c r="K220" s="23" t="str">
        <x:v>Not inferred</x:v>
      </x:c>
      <x:c r="L220" s="34" t="str">
        <x:v>e598036abe315887b13c9b78dc99837689c6e5ae6acf101f1c7fa2df28d8ac6d</x:v>
      </x:c>
      <x:c r="M220" s="32" t="n">
        <x:v>82374</x:v>
      </x:c>
      <x:c r="N220" s="23" t="str">
        <x:v>https://v5ma.github.io/theology-wiki/san-reader.html?page=law-of-attraction-and-magic</x:v>
      </x:c>
    </x:row>
    <x:row r="221" ht="56" customHeight="1">
      <x:c r="A221" s="23" t="str">
        <x:v>Law of Attraction Validation</x:v>
      </x:c>
      <x:c r="B221" s="23" t="str">
        <x:v>gpt2026dragon1001_Law_of_Attraction_Validation.txt</x:v>
      </x:c>
      <x:c r="C221" s="23" t="str">
        <x:v>2025-02-25</x:v>
      </x:c>
      <x:c r="D221" s="23" t="n">
        <x:v>1</x:v>
      </x:c>
      <x:c r="E221" s="23" t="str"/>
      <x:c r="F221" s="23" t="n">
        <x:f>IF(E221="",0,LEN(E221)-LEN(SUBSTITUTE(E221,CHAR(10),""))+1)</x:f>
        <x:v>0</x:v>
      </x:c>
      <x:c r="G221" s="23" t="str"/>
      <x:c r="H221" s="23" t="n">
        <x:f>IF(G221="",0,LEN(G221&amp;"")-LEN(SUBSTITUTE(G221&amp;"",CHAR(10),""))+1)</x:f>
        <x:v>0</x:v>
      </x:c>
      <x:c r="I221" s="23" t="str"/>
      <x:c r="J221" s="23" t="str">
        <x:v>No developed-article link recorded</x:v>
      </x:c>
      <x:c r="K221" s="23" t="str">
        <x:v>Not inferred</x:v>
      </x:c>
      <x:c r="L221" s="34" t="str">
        <x:v>9082b5f2654df96001d2cdfb3e60014d5d3f61bc5bd34280b305f4b6ad2e6319</x:v>
      </x:c>
      <x:c r="M221" s="32" t="n">
        <x:v>51380</x:v>
      </x:c>
      <x:c r="N221" s="23" t="str">
        <x:v>https://v5ma.github.io/theology-wiki/san-reader.html?page=law-of-attraction-validation</x:v>
      </x:c>
    </x:row>
    <x:row r="222" ht="56" customHeight="1">
      <x:c r="A222" s="23" t="str">
        <x:v>Leibniz branch Mesopotamia</x:v>
      </x:c>
      <x:c r="B222" s="23" t="str">
        <x:v>gpt2026dragon2337_Leibniz_branch_Mesopotamia.txt</x:v>
      </x:c>
      <x:c r="C222" s="23" t="str">
        <x:v>2025-09-09</x:v>
      </x:c>
      <x:c r="D222" s="23" t="n">
        <x:v>2</x:v>
      </x:c>
      <x:c r="E222" s="23" t="str"/>
      <x:c r="F222" s="23" t="n">
        <x:f>IF(E222="",0,LEN(E222)-LEN(SUBSTITUTE(E222,CHAR(10),""))+1)</x:f>
        <x:v>0</x:v>
      </x:c>
      <x:c r="G222" s="23" t="str"/>
      <x:c r="H222" s="23" t="n">
        <x:f>IF(G222="",0,LEN(G222&amp;"")-LEN(SUBSTITUTE(G222&amp;"",CHAR(10),""))+1)</x:f>
        <x:v>0</x:v>
      </x:c>
      <x:c r="I222" s="23" t="str"/>
      <x:c r="J222" s="23" t="str">
        <x:v>No developed-article link recorded</x:v>
      </x:c>
      <x:c r="K222" s="23" t="str">
        <x:v>Not inferred</x:v>
      </x:c>
      <x:c r="L222" s="34" t="str">
        <x:v>5e013c1a011fe6dd74ba894c2af3755902c4a46a660c602106f21583f35e610b</x:v>
      </x:c>
      <x:c r="M222" s="32" t="n">
        <x:v>16451</x:v>
      </x:c>
      <x:c r="N222" s="23" t="str">
        <x:v>https://v5ma.github.io/theology-wiki/san-reader.html?page=leibniz-branch-mesopotamia</x:v>
      </x:c>
    </x:row>
    <x:row r="223" ht="56" customHeight="1">
      <x:c r="A223" s="23" t="str">
        <x:v>Lucifer's fall explanation</x:v>
      </x:c>
      <x:c r="B223" s="23" t="str">
        <x:v>gpt2026dragon2722_Lucifer_s_fall_explanation.txt</x:v>
      </x:c>
      <x:c r="C223" s="23" t="str">
        <x:v>2025-11-03</x:v>
      </x:c>
      <x:c r="D223" s="23" t="n">
        <x:v>8</x:v>
      </x:c>
      <x:c r="E223" s="23" t="str"/>
      <x:c r="F223" s="23" t="n">
        <x:f>IF(E223="",0,LEN(E223)-LEN(SUBSTITUTE(E223,CHAR(10),""))+1)</x:f>
        <x:v>0</x:v>
      </x:c>
      <x:c r="G223" s="23" t="str"/>
      <x:c r="H223" s="23" t="n">
        <x:f>IF(G223="",0,LEN(G223&amp;"")-LEN(SUBSTITUTE(G223&amp;"",CHAR(10),""))+1)</x:f>
        <x:v>0</x:v>
      </x:c>
      <x:c r="I223" s="23" t="str"/>
      <x:c r="J223" s="23" t="str">
        <x:v>No developed-article link recorded</x:v>
      </x:c>
      <x:c r="K223" s="23" t="str">
        <x:v>Not inferred</x:v>
      </x:c>
      <x:c r="L223" s="34" t="str">
        <x:v>c5884cce7cb957ee39aac56c521e222a23baba6afcbc4131ba622a57c3324446</x:v>
      </x:c>
      <x:c r="M223" s="32" t="n">
        <x:v>10136</x:v>
      </x:c>
      <x:c r="N223" s="23" t="str">
        <x:v>https://v5ma.github.io/theology-wiki/san-reader.html?page=lucifer-s-fall-explanation</x:v>
      </x:c>
    </x:row>
    <x:row r="224" ht="56" customHeight="1">
      <x:c r="A224" s="23" t="str">
        <x:v>Maccabees Jeremiah and Dead Sea Scrolls</x:v>
      </x:c>
      <x:c r="B224" s="23" t="str">
        <x:v>gpt2026dragon1499_Maccabees_Jeremiah_and_Dead_Sea_Scrolls.txt</x:v>
      </x:c>
      <x:c r="C224" s="23" t="str">
        <x:v>2025-05-14</x:v>
      </x:c>
      <x:c r="D224" s="23" t="n">
        <x:v>28</x:v>
      </x:c>
      <x:c r="E224" s="23" t="str"/>
      <x:c r="F224" s="23" t="n">
        <x:f>IF(E224="",0,LEN(E224)-LEN(SUBSTITUTE(E224,CHAR(10),""))+1)</x:f>
        <x:v>0</x:v>
      </x:c>
      <x:c r="G224" s="23" t="str"/>
      <x:c r="H224" s="23" t="n">
        <x:f>IF(G224="",0,LEN(G224&amp;"")-LEN(SUBSTITUTE(G224&amp;"",CHAR(10),""))+1)</x:f>
        <x:v>0</x:v>
      </x:c>
      <x:c r="I224" s="23" t="str"/>
      <x:c r="J224" s="23" t="str">
        <x:v>No developed-article link recorded</x:v>
      </x:c>
      <x:c r="K224" s="23" t="str">
        <x:v>Not inferred</x:v>
      </x:c>
      <x:c r="L224" s="34" t="str">
        <x:v>665ff1a621cd075f0a3a0002611b380325823ae170cb4a67ba95ba9d8f097eb6</x:v>
      </x:c>
      <x:c r="M224" s="32" t="n">
        <x:v>26638</x:v>
      </x:c>
      <x:c r="N224" s="23" t="str">
        <x:v>https://v5ma.github.io/theology-wiki/san-reader.html?page=maccabees-jeremiah-and-dead-sea-scrolls</x:v>
      </x:c>
    </x:row>
    <x:row r="225" ht="56" customHeight="1">
      <x:c r="A225" s="23" t="str">
        <x:v>Mark 16 Textual Dispute</x:v>
      </x:c>
      <x:c r="B225" s="23" t="str">
        <x:v>gpt2026dragon604_Mark_16_Textual_Dispute.txt</x:v>
      </x:c>
      <x:c r="C225" s="23" t="str">
        <x:v>2024-12-31</x:v>
      </x:c>
      <x:c r="D225" s="23" t="n">
        <x:v>1</x:v>
      </x:c>
      <x:c r="E225" s="23" t="str"/>
      <x:c r="F225" s="23" t="n">
        <x:f>IF(E225="",0,LEN(E225)-LEN(SUBSTITUTE(E225,CHAR(10),""))+1)</x:f>
        <x:v>0</x:v>
      </x:c>
      <x:c r="G225" s="23" t="str"/>
      <x:c r="H225" s="23" t="n">
        <x:f>IF(G225="",0,LEN(G225&amp;"")-LEN(SUBSTITUTE(G225&amp;"",CHAR(10),""))+1)</x:f>
        <x:v>0</x:v>
      </x:c>
      <x:c r="I225" s="23" t="str"/>
      <x:c r="J225" s="23" t="str">
        <x:v>No developed-article link recorded</x:v>
      </x:c>
      <x:c r="K225" s="23" t="str">
        <x:v>Not inferred</x:v>
      </x:c>
      <x:c r="L225" s="34" t="str">
        <x:v>c9f37fa39fba302476c20096b81eb22f599e4dcc7aff0b517ae628fa6e8b6511</x:v>
      </x:c>
      <x:c r="M225" s="32" t="n">
        <x:v>806</x:v>
      </x:c>
      <x:c r="N225" s="23" t="str">
        <x:v>https://v5ma.github.io/theology-wiki/san-reader.html?page=mark-16-textual-dispute</x:v>
      </x:c>
    </x:row>
    <x:row r="226" ht="56" customHeight="1">
      <x:c r="A226" s="23" t="str">
        <x:v>Mark of the Beast X</x:v>
      </x:c>
      <x:c r="B226" s="23" t="str">
        <x:v>gpt2026dragon1131_Mark_of_the_Beast_X.txt</x:v>
      </x:c>
      <x:c r="C226" s="23" t="str">
        <x:v>2025-03-23</x:v>
      </x:c>
      <x:c r="D226" s="23" t="n">
        <x:v>12</x:v>
      </x:c>
      <x:c r="E226" s="23" t="str"/>
      <x:c r="F226" s="23" t="n">
        <x:f>IF(E226="",0,LEN(E226)-LEN(SUBSTITUTE(E226,CHAR(10),""))+1)</x:f>
        <x:v>0</x:v>
      </x:c>
      <x:c r="G226" s="23" t="str"/>
      <x:c r="H226" s="23" t="n">
        <x:f>IF(G226="",0,LEN(G226&amp;"")-LEN(SUBSTITUTE(G226&amp;"",CHAR(10),""))+1)</x:f>
        <x:v>0</x:v>
      </x:c>
      <x:c r="I226" s="23" t="str"/>
      <x:c r="J226" s="23" t="str">
        <x:v>No developed-article link recorded</x:v>
      </x:c>
      <x:c r="K226" s="23" t="str">
        <x:v>Not inferred</x:v>
      </x:c>
      <x:c r="L226" s="34" t="str">
        <x:v>f0efc0f06e8caaf973389a66ca62ff90f07d3a8cf98a53f6f989dd57f753bd2f</x:v>
      </x:c>
      <x:c r="M226" s="32" t="n">
        <x:v>10442</x:v>
      </x:c>
      <x:c r="N226" s="23" t="str">
        <x:v>https://v5ma.github.io/theology-wiki/san-reader.html?page=mark-of-the-beast-x</x:v>
      </x:c>
    </x:row>
    <x:row r="227" ht="56" customHeight="1">
      <x:c r="A227" s="23" t="str">
        <x:v>Marvel Crisis Equivalent</x:v>
      </x:c>
      <x:c r="B227" s="23" t="str">
        <x:v>gpt2026dragon115_Marvel_Crisis_Equivalent.txt</x:v>
      </x:c>
      <x:c r="C227" s="23" t="str">
        <x:v>2024-07-29</x:v>
      </x:c>
      <x:c r="D227" s="23" t="n">
        <x:v>3</x:v>
      </x:c>
      <x:c r="E227" s="23" t="str"/>
      <x:c r="F227" s="23" t="n">
        <x:f>IF(E227="",0,LEN(E227)-LEN(SUBSTITUTE(E227,CHAR(10),""))+1)</x:f>
        <x:v>0</x:v>
      </x:c>
      <x:c r="G227" s="23" t="str"/>
      <x:c r="H227" s="23" t="n">
        <x:f>IF(G227="",0,LEN(G227&amp;"")-LEN(SUBSTITUTE(G227&amp;"",CHAR(10),""))+1)</x:f>
        <x:v>0</x:v>
      </x:c>
      <x:c r="I227" s="23" t="str"/>
      <x:c r="J227" s="23" t="str">
        <x:v>No developed-article link recorded</x:v>
      </x:c>
      <x:c r="K227" s="23" t="str">
        <x:v>Not inferred</x:v>
      </x:c>
      <x:c r="L227" s="34" t="str">
        <x:v>8e5f7dbe9a23d9ccbb6231f6484c005ab9a62b381e70a2d5344a90f195ab607c</x:v>
      </x:c>
      <x:c r="M227" s="32" t="n">
        <x:v>4623</x:v>
      </x:c>
      <x:c r="N227" s="23" t="str">
        <x:v>https://v5ma.github.io/theology-wiki/san-reader.html?page=marvel-crisis-equivalent</x:v>
      </x:c>
    </x:row>
    <x:row r="228" ht="56" customHeight="1">
      <x:c r="A228" s="23" t="str">
        <x:v>MEAI as anti-psychotic</x:v>
      </x:c>
      <x:c r="B228" s="23" t="str">
        <x:v>gpt2026dragon2778_MEAI_as_anti-psychotic.txt</x:v>
      </x:c>
      <x:c r="C228" s="23" t="str">
        <x:v>2025-11-16</x:v>
      </x:c>
      <x:c r="D228" s="23" t="n">
        <x:v>37</x:v>
      </x:c>
      <x:c r="E228" s="23" t="str"/>
      <x:c r="F228" s="23" t="n">
        <x:f>IF(E228="",0,LEN(E228)-LEN(SUBSTITUTE(E228,CHAR(10),""))+1)</x:f>
        <x:v>0</x:v>
      </x:c>
      <x:c r="G228" s="23" t="str"/>
      <x:c r="H228" s="23" t="n">
        <x:f>IF(G228="",0,LEN(G228&amp;"")-LEN(SUBSTITUTE(G228&amp;"",CHAR(10),""))+1)</x:f>
        <x:v>0</x:v>
      </x:c>
      <x:c r="I228" s="23" t="str"/>
      <x:c r="J228" s="23" t="str">
        <x:v>No developed-article link recorded</x:v>
      </x:c>
      <x:c r="K228" s="23" t="str">
        <x:v>Not inferred</x:v>
      </x:c>
      <x:c r="L228" s="34" t="str">
        <x:v>0859eb872495e1280f035e0897f35555e36d36e2a2969af6f46172657dc988e8</x:v>
      </x:c>
      <x:c r="M228" s="32" t="n">
        <x:v>220814</x:v>
      </x:c>
      <x:c r="N228" s="23" t="str">
        <x:v>https://v5ma.github.io/theology-wiki/san-reader.html?page=meai-as-anti-psychotic</x:v>
      </x:c>
    </x:row>
    <x:row r="229" ht="56" customHeight="1">
      <x:c r="A229" s="23" t="str">
        <x:v>Meme Creation: Prophecy and Peace</x:v>
      </x:c>
      <x:c r="B229" s="23" t="str">
        <x:v>gpt2026dragon3096_Meme_Creation_Prophecy_and_Peace.txt</x:v>
      </x:c>
      <x:c r="C229" s="23" t="str">
        <x:v>2026-02-21</x:v>
      </x:c>
      <x:c r="D229" s="23" t="n">
        <x:v>7</x:v>
      </x:c>
      <x:c r="E229" s="23" t="str"/>
      <x:c r="F229" s="23" t="n">
        <x:f>IF(E229="",0,LEN(E229)-LEN(SUBSTITUTE(E229,CHAR(10),""))+1)</x:f>
        <x:v>0</x:v>
      </x:c>
      <x:c r="G229" s="23" t="str"/>
      <x:c r="H229" s="23" t="n">
        <x:f>IF(G229="",0,LEN(G229&amp;"")-LEN(SUBSTITUTE(G229&amp;"",CHAR(10),""))+1)</x:f>
        <x:v>0</x:v>
      </x:c>
      <x:c r="I229" s="23" t="str"/>
      <x:c r="J229" s="23" t="str">
        <x:v>No developed-article link recorded</x:v>
      </x:c>
      <x:c r="K229" s="23" t="str">
        <x:v>Not inferred</x:v>
      </x:c>
      <x:c r="L229" s="34" t="str">
        <x:v>01ef5653889c417d938c1d926edcb40a0f4b104874dab06a1fc6a8ce4080ad7f</x:v>
      </x:c>
      <x:c r="M229" s="32" t="n">
        <x:v>4857</x:v>
      </x:c>
      <x:c r="N229" s="23" t="str">
        <x:v>https://v5ma.github.io/theology-wiki/san-reader.html?page=meme-creation-prophecy-and-peace</x:v>
      </x:c>
    </x:row>
    <x:row r="230" ht="56" customHeight="1">
      <x:c r="A230" s="23" t="str">
        <x:v>Messiah role in Qumran</x:v>
      </x:c>
      <x:c r="B230" s="23" t="str">
        <x:v>gpt2026dragon2687_Messiah_role_in_Qumran.txt</x:v>
      </x:c>
      <x:c r="C230" s="23" t="str">
        <x:v>2025-10-26</x:v>
      </x:c>
      <x:c r="D230" s="23" t="n">
        <x:v>11</x:v>
      </x:c>
      <x:c r="E230" s="23" t="str"/>
      <x:c r="F230" s="23" t="n">
        <x:f>IF(E230="",0,LEN(E230)-LEN(SUBSTITUTE(E230,CHAR(10),""))+1)</x:f>
        <x:v>0</x:v>
      </x:c>
      <x:c r="G230" s="23" t="str"/>
      <x:c r="H230" s="23" t="n">
        <x:f>IF(G230="",0,LEN(G230&amp;"")-LEN(SUBSTITUTE(G230&amp;"",CHAR(10),""))+1)</x:f>
        <x:v>0</x:v>
      </x:c>
      <x:c r="I230" s="23" t="str"/>
      <x:c r="J230" s="23" t="str">
        <x:v>No developed-article link recorded</x:v>
      </x:c>
      <x:c r="K230" s="23" t="str">
        <x:v>Not inferred</x:v>
      </x:c>
      <x:c r="L230" s="34" t="str">
        <x:v>46eca47c137964f04e31de73bdadbf74a2e280ee1f75609ec4de357f08aec776</x:v>
      </x:c>
      <x:c r="M230" s="32" t="n">
        <x:v>29272</x:v>
      </x:c>
      <x:c r="N230" s="23" t="str">
        <x:v>https://v5ma.github.io/theology-wiki/san-reader.html?page=messiah-role-in-qumran</x:v>
      </x:c>
    </x:row>
    <x:row r="231" ht="56" customHeight="1">
      <x:c r="A231" s="23" t="str">
        <x:v>Mind of God equation</x:v>
      </x:c>
      <x:c r="B231" s="23" t="str">
        <x:v>gpt2026dragon2383_Mind_of_God_equation.txt</x:v>
      </x:c>
      <x:c r="C231" s="23" t="str">
        <x:v>2025-09-13</x:v>
      </x:c>
      <x:c r="D231" s="23" t="n">
        <x:v>3</x:v>
      </x:c>
      <x:c r="E231" s="23" t="str"/>
      <x:c r="F231" s="23" t="n">
        <x:f>IF(E231="",0,LEN(E231)-LEN(SUBSTITUTE(E231,CHAR(10),""))+1)</x:f>
        <x:v>0</x:v>
      </x:c>
      <x:c r="G231" s="23" t="str"/>
      <x:c r="H231" s="23" t="n">
        <x:f>IF(G231="",0,LEN(G231&amp;"")-LEN(SUBSTITUTE(G231&amp;"",CHAR(10),""))+1)</x:f>
        <x:v>0</x:v>
      </x:c>
      <x:c r="I231" s="23" t="str"/>
      <x:c r="J231" s="23" t="str">
        <x:v>No developed-article link recorded</x:v>
      </x:c>
      <x:c r="K231" s="23" t="str">
        <x:v>Not inferred</x:v>
      </x:c>
      <x:c r="L231" s="34" t="str">
        <x:v>4cf69d7d4c647cdb93c98c9bcb1349b6fa1e8e8d8e3c6315dfcba831100db7b0</x:v>
      </x:c>
      <x:c r="M231" s="32" t="n">
        <x:v>14403</x:v>
      </x:c>
      <x:c r="N231" s="23" t="str">
        <x:v>https://v5ma.github.io/theology-wiki/san-reader.html?page=mind-of-god-equation</x:v>
      </x:c>
    </x:row>
    <x:row r="232" ht="56" customHeight="1">
      <x:c r="A232" s="23" t="str">
        <x:v>Mind of God equation</x:v>
      </x:c>
      <x:c r="B232" s="23" t="str">
        <x:v>gpt2026dragon2382_Mind_of_God_equation.txt</x:v>
      </x:c>
      <x:c r="C232" s="23" t="str">
        <x:v>2025-09-13</x:v>
      </x:c>
      <x:c r="D232" s="23" t="n">
        <x:v>2</x:v>
      </x:c>
      <x:c r="E232" s="23" t="str"/>
      <x:c r="F232" s="23" t="n">
        <x:f>IF(E232="",0,LEN(E232)-LEN(SUBSTITUTE(E232,CHAR(10),""))+1)</x:f>
        <x:v>0</x:v>
      </x:c>
      <x:c r="G232" s="23" t="str"/>
      <x:c r="H232" s="23" t="n">
        <x:f>IF(G232="",0,LEN(G232&amp;"")-LEN(SUBSTITUTE(G232&amp;"",CHAR(10),""))+1)</x:f>
        <x:v>0</x:v>
      </x:c>
      <x:c r="I232" s="23" t="str"/>
      <x:c r="J232" s="23" t="str">
        <x:v>No developed-article link recorded</x:v>
      </x:c>
      <x:c r="K232" s="23" t="str">
        <x:v>Not inferred</x:v>
      </x:c>
      <x:c r="L232" s="34" t="str">
        <x:v>22abf5462867f3da3142bc69992b07df97eb41b14d03b778a63449225d604021</x:v>
      </x:c>
      <x:c r="M232" s="32" t="n">
        <x:v>4424</x:v>
      </x:c>
      <x:c r="N232" s="23" t="str">
        <x:v>https://v5ma.github.io/theology-wiki/san-reader.html?page=mind-of-god-equation-2</x:v>
      </x:c>
    </x:row>
    <x:row r="233" ht="56" customHeight="1">
      <x:c r="A233" s="23" t="str">
        <x:v>Modern Gnostic Critique of Catholicism</x:v>
      </x:c>
      <x:c r="B233" s="23" t="str">
        <x:v>gpt2026dragon959_Modern_Gnostic_Critique_of_Catholicism.txt</x:v>
      </x:c>
      <x:c r="C233" s="23" t="str">
        <x:v>2025-02-18</x:v>
      </x:c>
      <x:c r="D233" s="23" t="n">
        <x:v>2</x:v>
      </x:c>
      <x:c r="E233" s="23" t="str"/>
      <x:c r="F233" s="23" t="n">
        <x:f>IF(E233="",0,LEN(E233)-LEN(SUBSTITUTE(E233,CHAR(10),""))+1)</x:f>
        <x:v>0</x:v>
      </x:c>
      <x:c r="G233" s="23" t="str"/>
      <x:c r="H233" s="23" t="n">
        <x:f>IF(G233="",0,LEN(G233&amp;"")-LEN(SUBSTITUTE(G233&amp;"",CHAR(10),""))+1)</x:f>
        <x:v>0</x:v>
      </x:c>
      <x:c r="I233" s="23" t="str"/>
      <x:c r="J233" s="23" t="str">
        <x:v>No developed-article link recorded</x:v>
      </x:c>
      <x:c r="K233" s="23" t="str">
        <x:v>Not inferred</x:v>
      </x:c>
      <x:c r="L233" s="34" t="str">
        <x:v>3d2c258eda491640b3363cd15425fdc92c549096f8885998213c787b086f94f3</x:v>
      </x:c>
      <x:c r="M233" s="32" t="n">
        <x:v>4872</x:v>
      </x:c>
      <x:c r="N233" s="23" t="str">
        <x:v>https://v5ma.github.io/theology-wiki/san-reader.html?page=modern-gnostic-critique-of-catholicism</x:v>
      </x:c>
    </x:row>
    <x:row r="234" ht="56" customHeight="1">
      <x:c r="A234" s="23" t="str">
        <x:v>Modern Nazarenes Overview</x:v>
      </x:c>
      <x:c r="B234" s="23" t="str">
        <x:v>gpt2026dragon1460_Modern_Nazarenes_Overview.txt</x:v>
      </x:c>
      <x:c r="C234" s="23" t="str">
        <x:v>2025-05-10</x:v>
      </x:c>
      <x:c r="D234" s="23" t="n">
        <x:v>2</x:v>
      </x:c>
      <x:c r="E234" s="23" t="str"/>
      <x:c r="F234" s="23" t="n">
        <x:f>IF(E234="",0,LEN(E234)-LEN(SUBSTITUTE(E234,CHAR(10),""))+1)</x:f>
        <x:v>0</x:v>
      </x:c>
      <x:c r="G234" s="23" t="str"/>
      <x:c r="H234" s="23" t="n">
        <x:f>IF(G234="",0,LEN(G234&amp;"")-LEN(SUBSTITUTE(G234&amp;"",CHAR(10),""))+1)</x:f>
        <x:v>0</x:v>
      </x:c>
      <x:c r="I234" s="23" t="str"/>
      <x:c r="J234" s="23" t="str">
        <x:v>No developed-article link recorded</x:v>
      </x:c>
      <x:c r="K234" s="23" t="str">
        <x:v>Not inferred</x:v>
      </x:c>
      <x:c r="L234" s="34" t="str">
        <x:v>c21159f8fa66b78f9b85454b7313670f7db784407476307684630b6e3dedb19c</x:v>
      </x:c>
      <x:c r="M234" s="32" t="n">
        <x:v>1654</x:v>
      </x:c>
      <x:c r="N234" s="23" t="str">
        <x:v>https://v5ma.github.io/theology-wiki/san-reader.html?page=modern-nazarenes-overview</x:v>
      </x:c>
    </x:row>
    <x:row r="235" ht="56" customHeight="1">
      <x:c r="A235" s="23" t="str">
        <x:v>Moses Abraham and God</x:v>
      </x:c>
      <x:c r="B235" s="23" t="str">
        <x:v>gpt2026dragon560_Moses_Abraham_and_God.txt</x:v>
      </x:c>
      <x:c r="C235" s="23" t="str">
        <x:v>2024-12-20</x:v>
      </x:c>
      <x:c r="D235" s="23" t="n">
        <x:v>1</x:v>
      </x:c>
      <x:c r="E235" s="23" t="str"/>
      <x:c r="F235" s="23" t="n">
        <x:f>IF(E235="",0,LEN(E235)-LEN(SUBSTITUTE(E235,CHAR(10),""))+1)</x:f>
        <x:v>0</x:v>
      </x:c>
      <x:c r="G235" s="23" t="str"/>
      <x:c r="H235" s="23" t="n">
        <x:f>IF(G235="",0,LEN(G235&amp;"")-LEN(SUBSTITUTE(G235&amp;"",CHAR(10),""))+1)</x:f>
        <x:v>0</x:v>
      </x:c>
      <x:c r="I235" s="23" t="str"/>
      <x:c r="J235" s="23" t="str">
        <x:v>No developed-article link recorded</x:v>
      </x:c>
      <x:c r="K235" s="23" t="str">
        <x:v>Not inferred</x:v>
      </x:c>
      <x:c r="L235" s="34" t="str">
        <x:v>9fe8b7bd3164113120857311445a57780471a8ee3149c3ab2f9fd3bc14ebba22</x:v>
      </x:c>
      <x:c r="M235" s="32" t="n">
        <x:v>2712</x:v>
      </x:c>
      <x:c r="N235" s="23" t="str">
        <x:v>https://v5ma.github.io/theology-wiki/san-reader.html?page=moses-abraham-and-god</x:v>
      </x:c>
    </x:row>
    <x:row r="236" ht="56" customHeight="1">
      <x:c r="A236" s="23" t="str">
        <x:v>Moses and the Burning Bush</x:v>
      </x:c>
      <x:c r="B236" s="23" t="str">
        <x:v>gpt2026dragon514_Moses_and_the_Burning_Bush.txt</x:v>
      </x:c>
      <x:c r="C236" s="23" t="str">
        <x:v>2024-12-10</x:v>
      </x:c>
      <x:c r="D236" s="23" t="n">
        <x:v>3</x:v>
      </x:c>
      <x:c r="E236" s="23" t="str"/>
      <x:c r="F236" s="23" t="n">
        <x:f>IF(E236="",0,LEN(E236)-LEN(SUBSTITUTE(E236,CHAR(10),""))+1)</x:f>
        <x:v>0</x:v>
      </x:c>
      <x:c r="G236" s="23" t="str"/>
      <x:c r="H236" s="23" t="n">
        <x:f>IF(G236="",0,LEN(G236&amp;"")-LEN(SUBSTITUTE(G236&amp;"",CHAR(10),""))+1)</x:f>
        <x:v>0</x:v>
      </x:c>
      <x:c r="I236" s="23" t="str"/>
      <x:c r="J236" s="23" t="str">
        <x:v>No developed-article link recorded</x:v>
      </x:c>
      <x:c r="K236" s="23" t="str">
        <x:v>Not inferred</x:v>
      </x:c>
      <x:c r="L236" s="34" t="str">
        <x:v>a34bc6e6039c1fbd1ee56f059ea7cae126452d3c1dd0f3e7d87bd77433bf693e</x:v>
      </x:c>
      <x:c r="M236" s="32" t="n">
        <x:v>4325</x:v>
      </x:c>
      <x:c r="N236" s="23" t="str">
        <x:v>https://v5ma.github.io/theology-wiki/san-reader.html?page=moses-and-the-burning-bush</x:v>
      </x:c>
    </x:row>
    <x:row r="237" ht="56" customHeight="1">
      <x:c r="A237" s="23" t="str">
        <x:v>Moses dating debate</x:v>
      </x:c>
      <x:c r="B237" s="23" t="str">
        <x:v>gpt2026dragon2136_Moses_dating_debate.txt</x:v>
      </x:c>
      <x:c r="C237" s="23" t="str">
        <x:v>2025-08-17</x:v>
      </x:c>
      <x:c r="D237" s="23" t="n">
        <x:v>30</x:v>
      </x:c>
      <x:c r="E237" s="23" t="str">
        <x:v>moses-volcano-and-exodus-chronology</x:v>
      </x:c>
      <x:c r="F237" s="23" t="n">
        <x:f>IF(E237="",0,LEN(E237)-LEN(SUBSTITUTE(E237,CHAR(10),""))+1)</x:f>
        <x:v>1</x:v>
      </x:c>
      <x:c r="G237" s="23" t="str"/>
      <x:c r="H237" s="23" t="n">
        <x:f>IF(G237="",0,LEN(G237&amp;"")-LEN(SUBSTITUTE(G237&amp;"",CHAR(10),""))+1)</x:f>
        <x:v>0</x:v>
      </x:c>
      <x:c r="I237" s="23" t="str">
        <x:v>catastrophe-memory</x:v>
      </x:c>
      <x:c r="J237" s="23" t="str">
        <x:v>Linked to developed article</x:v>
      </x:c>
      <x:c r="K237" s="23" t="str">
        <x:v>Not inferred</x:v>
      </x:c>
      <x:c r="L237" s="34" t="str">
        <x:v>fba3543ecc5587b753a2224cbf4f4e71ab0c8893f4bf1e0fa135664e89e30f96</x:v>
      </x:c>
      <x:c r="M237" s="32" t="n">
        <x:v>35979</x:v>
      </x:c>
      <x:c r="N237" s="23" t="str">
        <x:v>https://v5ma.github.io/theology-wiki/san-reader.html?page=moses-dating-debate</x:v>
      </x:c>
    </x:row>
    <x:row r="238" ht="56" customHeight="1">
      <x:c r="A238" s="23" t="str">
        <x:v>Muslim View of Jesus</x:v>
      </x:c>
      <x:c r="B238" s="23" t="str">
        <x:v>gpt2026dragon941_Muslim_View_of_Jesus.txt</x:v>
      </x:c>
      <x:c r="C238" s="23" t="str">
        <x:v>2025-02-14</x:v>
      </x:c>
      <x:c r="D238" s="23" t="n">
        <x:v>7</x:v>
      </x:c>
      <x:c r="E238" s="23" t="str"/>
      <x:c r="F238" s="23" t="n">
        <x:f>IF(E238="",0,LEN(E238)-LEN(SUBSTITUTE(E238,CHAR(10),""))+1)</x:f>
        <x:v>0</x:v>
      </x:c>
      <x:c r="G238" s="23" t="str"/>
      <x:c r="H238" s="23" t="n">
        <x:f>IF(G238="",0,LEN(G238&amp;"")-LEN(SUBSTITUTE(G238&amp;"",CHAR(10),""))+1)</x:f>
        <x:v>0</x:v>
      </x:c>
      <x:c r="I238" s="23" t="str"/>
      <x:c r="J238" s="23" t="str">
        <x:v>No developed-article link recorded</x:v>
      </x:c>
      <x:c r="K238" s="23" t="str">
        <x:v>Not inferred</x:v>
      </x:c>
      <x:c r="L238" s="34" t="str">
        <x:v>fba11efaea4a2045ebbf0243e594f045403ca772fcf9c9cf63180daa2d9ba3e8</x:v>
      </x:c>
      <x:c r="M238" s="32" t="n">
        <x:v>7705</x:v>
      </x:c>
      <x:c r="N238" s="23" t="str">
        <x:v>https://v5ma.github.io/theology-wiki/san-reader.html?page=muslim-view-of-jesus</x:v>
      </x:c>
    </x:row>
    <x:row r="239" ht="56" customHeight="1">
      <x:c r="A239" s="23" t="str">
        <x:v>My Descent Into Death Summary</x:v>
      </x:c>
      <x:c r="B239" s="23" t="str">
        <x:v>gpt2026dragon526_My_Descent_Into_Death_Summary.txt</x:v>
      </x:c>
      <x:c r="C239" s="23" t="str">
        <x:v>2024-12-12</x:v>
      </x:c>
      <x:c r="D239" s="23" t="n">
        <x:v>2</x:v>
      </x:c>
      <x:c r="E239" s="23" t="str"/>
      <x:c r="F239" s="23" t="n">
        <x:f>IF(E239="",0,LEN(E239)-LEN(SUBSTITUTE(E239,CHAR(10),""))+1)</x:f>
        <x:v>0</x:v>
      </x:c>
      <x:c r="G239" s="23" t="str"/>
      <x:c r="H239" s="23" t="n">
        <x:f>IF(G239="",0,LEN(G239&amp;"")-LEN(SUBSTITUTE(G239&amp;"",CHAR(10),""))+1)</x:f>
        <x:v>0</x:v>
      </x:c>
      <x:c r="I239" s="23" t="str"/>
      <x:c r="J239" s="23" t="str">
        <x:v>No developed-article link recorded</x:v>
      </x:c>
      <x:c r="K239" s="23" t="str">
        <x:v>Not inferred</x:v>
      </x:c>
      <x:c r="L239" s="34" t="str">
        <x:v>2b601a1eb2c25e5478246e3599f2bc85304000dffa04bf21debce41e7a10954f</x:v>
      </x:c>
      <x:c r="M239" s="32" t="n">
        <x:v>2769</x:v>
      </x:c>
      <x:c r="N239" s="23" t="str">
        <x:v>https://v5ma.github.io/theology-wiki/san-reader.html?page=my-descent-into-death-summary</x:v>
      </x:c>
    </x:row>
    <x:row r="240" ht="56" customHeight="1">
      <x:c r="A240" s="23" t="str">
        <x:v>Naming God as Purpose</x:v>
      </x:c>
      <x:c r="B240" s="23" t="str">
        <x:v>gpt2026dragon1305_Naming_God_as_Purpose.txt</x:v>
      </x:c>
      <x:c r="C240" s="23" t="str">
        <x:v>2025-04-16</x:v>
      </x:c>
      <x:c r="D240" s="23" t="n">
        <x:v>4</x:v>
      </x:c>
      <x:c r="E240" s="23" t="str">
        <x:v>god-and-our-models-of-god</x:v>
      </x:c>
      <x:c r="F240" s="23" t="n">
        <x:f>IF(E240="",0,LEN(E240)-LEN(SUBSTITUTE(E240,CHAR(10),""))+1)</x:f>
        <x:v>1</x:v>
      </x:c>
      <x:c r="G240" s="23" t="str">
        <x:v>Turn 1
Turn 3</x:v>
      </x:c>
      <x:c r="H240" s="23" t="n">
        <x:f>IF(G240="",0,LEN(G240&amp;"")-LEN(SUBSTITUTE(G240&amp;"",CHAR(10),""))+1)</x:f>
        <x:v>2</x:v>
      </x:c>
      <x:c r="I240" s="23" t="str">
        <x:v>images
next-inheritors</x:v>
      </x:c>
      <x:c r="J240" s="23" t="str">
        <x:v>Linked to developed article</x:v>
      </x:c>
      <x:c r="K240" s="23" t="str">
        <x:v>Not inferred</x:v>
      </x:c>
      <x:c r="L240" s="34" t="str">
        <x:v>efc4cb81df020abd61b4d974380a0c558beeb5a7915905e2eeeae21859589c37</x:v>
      </x:c>
      <x:c r="M240" s="32" t="n">
        <x:v>6710</x:v>
      </x:c>
      <x:c r="N240" s="23" t="str">
        <x:v>https://v5ma.github.io/theology-wiki/san-reader.html?page=naming-god-as-purpose</x:v>
      </x:c>
    </x:row>
    <x:row r="241" ht="56" customHeight="1">
      <x:c r="A241" s="23" t="str">
        <x:v>Nearest Wilderness to SF</x:v>
      </x:c>
      <x:c r="B241" s="23" t="str">
        <x:v>gpt2026dragon3059_Nearest_Wilderness_to_SF.txt</x:v>
      </x:c>
      <x:c r="C241" s="23" t="str">
        <x:v>2026-02-01</x:v>
      </x:c>
      <x:c r="D241" s="23" t="n">
        <x:v>13</x:v>
      </x:c>
      <x:c r="E241" s="23" t="str"/>
      <x:c r="F241" s="23" t="n">
        <x:f>IF(E241="",0,LEN(E241)-LEN(SUBSTITUTE(E241,CHAR(10),""))+1)</x:f>
        <x:v>0</x:v>
      </x:c>
      <x:c r="G241" s="23" t="str"/>
      <x:c r="H241" s="23" t="n">
        <x:f>IF(G241="",0,LEN(G241&amp;"")-LEN(SUBSTITUTE(G241&amp;"",CHAR(10),""))+1)</x:f>
        <x:v>0</x:v>
      </x:c>
      <x:c r="I241" s="23" t="str"/>
      <x:c r="J241" s="23" t="str">
        <x:v>No developed-article link recorded</x:v>
      </x:c>
      <x:c r="K241" s="23" t="str">
        <x:v>Not inferred</x:v>
      </x:c>
      <x:c r="L241" s="34" t="str">
        <x:v>f760df5f68fffbbc059674d8b36654efc77c4a42d7a23743908540e32c9f8cce</x:v>
      </x:c>
      <x:c r="M241" s="32" t="n">
        <x:v>35863</x:v>
      </x:c>
      <x:c r="N241" s="23" t="str">
        <x:v>https://v5ma.github.io/theology-wiki/san-reader.html?page=nearest-wilderness-to-sf</x:v>
      </x:c>
    </x:row>
    <x:row r="242" ht="56" customHeight="1">
      <x:c r="A242" s="23" t="str">
        <x:v>Neo Mind Cycle Evolution</x:v>
      </x:c>
      <x:c r="B242" s="23" t="str">
        <x:v>gpt2026dragon952_Neo_Mind_Cycle_Evolution.txt</x:v>
      </x:c>
      <x:c r="C242" s="23" t="str">
        <x:v>2025-02-16</x:v>
      </x:c>
      <x:c r="D242" s="23" t="n">
        <x:v>3</x:v>
      </x:c>
      <x:c r="E242" s="23" t="str"/>
      <x:c r="F242" s="23" t="n">
        <x:f>IF(E242="",0,LEN(E242)-LEN(SUBSTITUTE(E242,CHAR(10),""))+1)</x:f>
        <x:v>0</x:v>
      </x:c>
      <x:c r="G242" s="23" t="str"/>
      <x:c r="H242" s="23" t="n">
        <x:f>IF(G242="",0,LEN(G242&amp;"")-LEN(SUBSTITUTE(G242&amp;"",CHAR(10),""))+1)</x:f>
        <x:v>0</x:v>
      </x:c>
      <x:c r="I242" s="23" t="str"/>
      <x:c r="J242" s="23" t="str">
        <x:v>No developed-article link recorded</x:v>
      </x:c>
      <x:c r="K242" s="23" t="str">
        <x:v>Not inferred</x:v>
      </x:c>
      <x:c r="L242" s="34" t="str">
        <x:v>fc57c3e596b6d186e148fa21f2ec36301756f547bf03b16759da60afa8c60ae5</x:v>
      </x:c>
      <x:c r="M242" s="32" t="n">
        <x:v>7540</x:v>
      </x:c>
      <x:c r="N242" s="23" t="str">
        <x:v>https://v5ma.github.io/theology-wiki/san-reader.html?page=neo-mind-cycle-evolution</x:v>
      </x:c>
    </x:row>
    <x:row r="243" ht="56" customHeight="1">
      <x:c r="A243" s="23" t="str">
        <x:v>Netanyahu's controversial rhetoric</x:v>
      </x:c>
      <x:c r="B243" s="23" t="str">
        <x:v>gpt2026dragon2008_Netanyahu_s_controversial_rhetoric.txt</x:v>
      </x:c>
      <x:c r="C243" s="23" t="str">
        <x:v>2025-07-31</x:v>
      </x:c>
      <x:c r="D243" s="23" t="n">
        <x:v>10</x:v>
      </x:c>
      <x:c r="E243" s="23" t="str"/>
      <x:c r="F243" s="23" t="n">
        <x:f>IF(E243="",0,LEN(E243)-LEN(SUBSTITUTE(E243,CHAR(10),""))+1)</x:f>
        <x:v>0</x:v>
      </x:c>
      <x:c r="G243" s="23" t="str"/>
      <x:c r="H243" s="23" t="n">
        <x:f>IF(G243="",0,LEN(G243&amp;"")-LEN(SUBSTITUTE(G243&amp;"",CHAR(10),""))+1)</x:f>
        <x:v>0</x:v>
      </x:c>
      <x:c r="I243" s="23" t="str"/>
      <x:c r="J243" s="23" t="str">
        <x:v>No developed-article link recorded</x:v>
      </x:c>
      <x:c r="K243" s="23" t="str">
        <x:v>Not inferred</x:v>
      </x:c>
      <x:c r="L243" s="34" t="str">
        <x:v>954899ad45e2832b3ed9fcbe7ccecfe30573980d516be83e02695c5e563687dd</x:v>
      </x:c>
      <x:c r="M243" s="32" t="n">
        <x:v>32997</x:v>
      </x:c>
      <x:c r="N243" s="23" t="str">
        <x:v>https://v5ma.github.io/theology-wiki/san-reader.html?page=netanyahu-s-controversial-rhetoric</x:v>
      </x:c>
    </x:row>
    <x:row r="244" ht="56" customHeight="1">
      <x:c r="A244" s="23" t="str">
        <x:v>Neurohacker Bio Summary</x:v>
      </x:c>
      <x:c r="B244" s="23" t="str">
        <x:v>gpt2026dragon411_Neurohacker_Bio_Summary.txt</x:v>
      </x:c>
      <x:c r="C244" s="23" t="str">
        <x:v>2024-11-10</x:v>
      </x:c>
      <x:c r="D244" s="23" t="n">
        <x:v>1</x:v>
      </x:c>
      <x:c r="E244" s="23" t="str"/>
      <x:c r="F244" s="23" t="n">
        <x:f>IF(E244="",0,LEN(E244)-LEN(SUBSTITUTE(E244,CHAR(10),""))+1)</x:f>
        <x:v>0</x:v>
      </x:c>
      <x:c r="G244" s="23" t="str"/>
      <x:c r="H244" s="23" t="n">
        <x:f>IF(G244="",0,LEN(G244&amp;"")-LEN(SUBSTITUTE(G244&amp;"",CHAR(10),""))+1)</x:f>
        <x:v>0</x:v>
      </x:c>
      <x:c r="I244" s="23" t="str"/>
      <x:c r="J244" s="23" t="str">
        <x:v>No developed-article link recorded</x:v>
      </x:c>
      <x:c r="K244" s="23" t="str">
        <x:v>Not inferred</x:v>
      </x:c>
      <x:c r="L244" s="34" t="str">
        <x:v>e5295b50614c805bf4c0512b1c74b89afcc63c2402bd615fd9dc99280e8abf03</x:v>
      </x:c>
      <x:c r="M244" s="32" t="n">
        <x:v>1726</x:v>
      </x:c>
      <x:c r="N244" s="23" t="str">
        <x:v>https://v5ma.github.io/theology-wiki/san-reader.html?page=neurohacker-bio-summary</x:v>
      </x:c>
    </x:row>
    <x:row r="245" ht="56" customHeight="1">
      <x:c r="A245" s="23" t="str">
        <x:v>Nietzsche Jesus Gnostic Resources</x:v>
      </x:c>
      <x:c r="B245" s="23" t="str">
        <x:v>gpt2026dragon1111_Nietzsche_Jesus_Gnostic_Resources.txt</x:v>
      </x:c>
      <x:c r="C245" s="23" t="str">
        <x:v>2025-03-18</x:v>
      </x:c>
      <x:c r="D245" s="23" t="n">
        <x:v>62</x:v>
      </x:c>
      <x:c r="E245" s="23" t="str"/>
      <x:c r="F245" s="23" t="n">
        <x:f>IF(E245="",0,LEN(E245)-LEN(SUBSTITUTE(E245,CHAR(10),""))+1)</x:f>
        <x:v>0</x:v>
      </x:c>
      <x:c r="G245" s="23" t="str"/>
      <x:c r="H245" s="23" t="n">
        <x:f>IF(G245="",0,LEN(G245&amp;"")-LEN(SUBSTITUTE(G245&amp;"",CHAR(10),""))+1)</x:f>
        <x:v>0</x:v>
      </x:c>
      <x:c r="I245" s="23" t="str"/>
      <x:c r="J245" s="23" t="str">
        <x:v>No developed-article link recorded</x:v>
      </x:c>
      <x:c r="K245" s="23" t="str">
        <x:v>Not inferred</x:v>
      </x:c>
      <x:c r="L245" s="34" t="str">
        <x:v>dc68b33fbc532e541697d792a38b341ab8ca686b308591c970816073fc1eded8</x:v>
      </x:c>
      <x:c r="M245" s="32" t="n">
        <x:v>152616</x:v>
      </x:c>
      <x:c r="N245" s="23" t="str">
        <x:v>https://v5ma.github.io/theology-wiki/san-reader.html?page=nietzsche-jesus-gnostic-resources</x:v>
      </x:c>
    </x:row>
    <x:row r="246" ht="56" customHeight="1">
      <x:c r="A246" s="23" t="str">
        <x:v>No pre-trib rapture arguments</x:v>
      </x:c>
      <x:c r="B246" s="23" t="str">
        <x:v>gpt2026dragon2754_No_pre-trib_rapture_arguments.txt</x:v>
      </x:c>
      <x:c r="C246" s="23" t="str">
        <x:v>2025-11-11</x:v>
      </x:c>
      <x:c r="D246" s="23" t="n">
        <x:v>2</x:v>
      </x:c>
      <x:c r="E246" s="23" t="str"/>
      <x:c r="F246" s="23" t="n">
        <x:f>IF(E246="",0,LEN(E246)-LEN(SUBSTITUTE(E246,CHAR(10),""))+1)</x:f>
        <x:v>0</x:v>
      </x:c>
      <x:c r="G246" s="23" t="str"/>
      <x:c r="H246" s="23" t="n">
        <x:f>IF(G246="",0,LEN(G246&amp;"")-LEN(SUBSTITUTE(G246&amp;"",CHAR(10),""))+1)</x:f>
        <x:v>0</x:v>
      </x:c>
      <x:c r="I246" s="23" t="str"/>
      <x:c r="J246" s="23" t="str">
        <x:v>No developed-article link recorded</x:v>
      </x:c>
      <x:c r="K246" s="23" t="str">
        <x:v>Not inferred</x:v>
      </x:c>
      <x:c r="L246" s="34" t="str">
        <x:v>a61e273283d19f1e54b068a12a771a27aa4490e0fdaf5f805feab51090d8ab84</x:v>
      </x:c>
      <x:c r="M246" s="32" t="n">
        <x:v>6437</x:v>
      </x:c>
      <x:c r="N246" s="23" t="str">
        <x:v>https://v5ma.github.io/theology-wiki/san-reader.html?page=no-pre-trib-rapture-arguments</x:v>
      </x:c>
    </x:row>
    <x:row r="247" ht="56" customHeight="1">
      <x:c r="A247" s="23" t="str">
        <x:v>Noah and Moses Jewish Status</x:v>
      </x:c>
      <x:c r="B247" s="23" t="str">
        <x:v>gpt2026dragon3085_Noah_and_Moses_Jewish_Status.txt</x:v>
      </x:c>
      <x:c r="C247" s="23" t="str">
        <x:v>2026-02-16</x:v>
      </x:c>
      <x:c r="D247" s="23" t="n">
        <x:v>23</x:v>
      </x:c>
      <x:c r="E247" s="23" t="str"/>
      <x:c r="F247" s="23" t="n">
        <x:f>IF(E247="",0,LEN(E247)-LEN(SUBSTITUTE(E247,CHAR(10),""))+1)</x:f>
        <x:v>0</x:v>
      </x:c>
      <x:c r="G247" s="23" t="str"/>
      <x:c r="H247" s="23" t="n">
        <x:f>IF(G247="",0,LEN(G247&amp;"")-LEN(SUBSTITUTE(G247&amp;"",CHAR(10),""))+1)</x:f>
        <x:v>0</x:v>
      </x:c>
      <x:c r="I247" s="23" t="str"/>
      <x:c r="J247" s="23" t="str">
        <x:v>No developed-article link recorded</x:v>
      </x:c>
      <x:c r="K247" s="23" t="str">
        <x:v>Not inferred</x:v>
      </x:c>
      <x:c r="L247" s="34" t="str">
        <x:v>676c9ff463157e792128e83a3ac0614627b82678d50fcc1b0bd428fbd513b0cd</x:v>
      </x:c>
      <x:c r="M247" s="32" t="n">
        <x:v>160751</x:v>
      </x:c>
      <x:c r="N247" s="23" t="str">
        <x:v>https://v5ma.github.io/theology-wiki/san-reader.html?page=noah-and-moses-jewish-status</x:v>
      </x:c>
    </x:row>
    <x:row r="248" ht="56" customHeight="1">
      <x:c r="A248" s="23" t="str">
        <x:v>Nuclear War Survival Tips</x:v>
      </x:c>
      <x:c r="B248" s="23" t="str">
        <x:v>gpt2026dragon108_Nuclear_War_Survival_Tips.txt</x:v>
      </x:c>
      <x:c r="C248" s="23" t="str">
        <x:v>2024-08-30</x:v>
      </x:c>
      <x:c r="D248" s="23" t="n">
        <x:v>2</x:v>
      </x:c>
      <x:c r="E248" s="23" t="str"/>
      <x:c r="F248" s="23" t="n">
        <x:f>IF(E248="",0,LEN(E248)-LEN(SUBSTITUTE(E248,CHAR(10),""))+1)</x:f>
        <x:v>0</x:v>
      </x:c>
      <x:c r="G248" s="23" t="str"/>
      <x:c r="H248" s="23" t="n">
        <x:f>IF(G248="",0,LEN(G248&amp;"")-LEN(SUBSTITUTE(G248&amp;"",CHAR(10),""))+1)</x:f>
        <x:v>0</x:v>
      </x:c>
      <x:c r="I248" s="23" t="str"/>
      <x:c r="J248" s="23" t="str">
        <x:v>No developed-article link recorded</x:v>
      </x:c>
      <x:c r="K248" s="23" t="str">
        <x:v>Not inferred</x:v>
      </x:c>
      <x:c r="L248" s="34" t="str">
        <x:v>2e8e2479ba3d55e5b39b2c3875e843fa1ce7858434ca3ee4ef9a0d0568522083</x:v>
      </x:c>
      <x:c r="M248" s="32" t="n">
        <x:v>5250</x:v>
      </x:c>
      <x:c r="N248" s="23" t="str">
        <x:v>https://v5ma.github.io/theology-wiki/san-reader.html?page=nuclear-war-survival-tips</x:v>
      </x:c>
    </x:row>
    <x:row r="249" ht="56" customHeight="1">
      <x:c r="A249" s="23" t="str">
        <x:v>Oil vs Gas Control</x:v>
      </x:c>
      <x:c r="B249" s="23" t="str">
        <x:v>gpt2026dragon3026_Oil_vs_Gas_Control.txt</x:v>
      </x:c>
      <x:c r="C249" s="23" t="str">
        <x:v>2026-01-22</x:v>
      </x:c>
      <x:c r="D249" s="23" t="n">
        <x:v>1</x:v>
      </x:c>
      <x:c r="E249" s="23" t="str"/>
      <x:c r="F249" s="23" t="n">
        <x:f>IF(E249="",0,LEN(E249)-LEN(SUBSTITUTE(E249,CHAR(10),""))+1)</x:f>
        <x:v>0</x:v>
      </x:c>
      <x:c r="G249" s="23" t="str"/>
      <x:c r="H249" s="23" t="n">
        <x:f>IF(G249="",0,LEN(G249&amp;"")-LEN(SUBSTITUTE(G249&amp;"",CHAR(10),""))+1)</x:f>
        <x:v>0</x:v>
      </x:c>
      <x:c r="I249" s="23" t="str"/>
      <x:c r="J249" s="23" t="str">
        <x:v>No developed-article link recorded</x:v>
      </x:c>
      <x:c r="K249" s="23" t="str">
        <x:v>Not inferred</x:v>
      </x:c>
      <x:c r="L249" s="34" t="str">
        <x:v>dc5ba2eb60c068c4c7f102a3e230b449e1ed2ea1681b004ceec81edd0c4835e7</x:v>
      </x:c>
      <x:c r="M249" s="32" t="n">
        <x:v>5135</x:v>
      </x:c>
      <x:c r="N249" s="23" t="str">
        <x:v>https://v5ma.github.io/theology-wiki/san-reader.html?page=oil-vs-gas-control</x:v>
      </x:c>
    </x:row>
    <x:row r="250" ht="56" customHeight="1">
      <x:c r="A250" s="23" t="str">
        <x:v>Oneness with God Perspectives</x:v>
      </x:c>
      <x:c r="B250" s="23" t="str">
        <x:v>gpt2026dragon498_Oneness_with_God_Perspectives.txt</x:v>
      </x:c>
      <x:c r="C250" s="23" t="str">
        <x:v>2024-12-07</x:v>
      </x:c>
      <x:c r="D250" s="23" t="n">
        <x:v>2</x:v>
      </x:c>
      <x:c r="E250" s="23" t="str"/>
      <x:c r="F250" s="23" t="n">
        <x:f>IF(E250="",0,LEN(E250)-LEN(SUBSTITUTE(E250,CHAR(10),""))+1)</x:f>
        <x:v>0</x:v>
      </x:c>
      <x:c r="G250" s="23" t="str"/>
      <x:c r="H250" s="23" t="n">
        <x:f>IF(G250="",0,LEN(G250&amp;"")-LEN(SUBSTITUTE(G250&amp;"",CHAR(10),""))+1)</x:f>
        <x:v>0</x:v>
      </x:c>
      <x:c r="I250" s="23" t="str"/>
      <x:c r="J250" s="23" t="str">
        <x:v>No developed-article link recorded</x:v>
      </x:c>
      <x:c r="K250" s="23" t="str">
        <x:v>Not inferred</x:v>
      </x:c>
      <x:c r="L250" s="34" t="str">
        <x:v>a88dedcdcefe080d2c9f0ac045f59a94bf5d8cd29dc16d34f70363e3250c4d1f</x:v>
      </x:c>
      <x:c r="M250" s="32" t="n">
        <x:v>4609</x:v>
      </x:c>
      <x:c r="N250" s="23" t="str">
        <x:v>https://v5ma.github.io/theology-wiki/san-reader.html?page=oneness-with-god-perspectives</x:v>
      </x:c>
    </x:row>
    <x:row r="251" ht="56" customHeight="1">
      <x:c r="A251" s="23" t="str">
        <x:v>Oort Cloud and YEC</x:v>
      </x:c>
      <x:c r="B251" s="23" t="str">
        <x:v>gpt2026dragon545_Oort_Cloud_and_YEC.txt</x:v>
      </x:c>
      <x:c r="C251" s="23" t="str">
        <x:v>2024-12-16</x:v>
      </x:c>
      <x:c r="D251" s="23" t="n">
        <x:v>3</x:v>
      </x:c>
      <x:c r="E251" s="23" t="str"/>
      <x:c r="F251" s="23" t="n">
        <x:f>IF(E251="",0,LEN(E251)-LEN(SUBSTITUTE(E251,CHAR(10),""))+1)</x:f>
        <x:v>0</x:v>
      </x:c>
      <x:c r="G251" s="23" t="str"/>
      <x:c r="H251" s="23" t="n">
        <x:f>IF(G251="",0,LEN(G251&amp;"")-LEN(SUBSTITUTE(G251&amp;"",CHAR(10),""))+1)</x:f>
        <x:v>0</x:v>
      </x:c>
      <x:c r="I251" s="23" t="str"/>
      <x:c r="J251" s="23" t="str">
        <x:v>No developed-article link recorded</x:v>
      </x:c>
      <x:c r="K251" s="23" t="str">
        <x:v>Not inferred</x:v>
      </x:c>
      <x:c r="L251" s="34" t="str">
        <x:v>9d9de31e28af771aca1a453a27a1b57e74b5e8ee7dd2e56fbaff3ca4cfbf5249</x:v>
      </x:c>
      <x:c r="M251" s="32" t="n">
        <x:v>4966</x:v>
      </x:c>
      <x:c r="N251" s="23" t="str">
        <x:v>https://v5ma.github.io/theology-wiki/san-reader.html?page=oort-cloud-and-yec</x:v>
      </x:c>
    </x:row>
    <x:row r="252" ht="56" customHeight="1">
      <x:c r="A252" s="23" t="str">
        <x:v>Original Sin vs Ezekiel</x:v>
      </x:c>
      <x:c r="B252" s="23" t="str">
        <x:v>gpt2026dragon1808_Original_Sin_vs_Ezekiel.txt</x:v>
      </x:c>
      <x:c r="C252" s="23" t="str">
        <x:v>2025-06-30</x:v>
      </x:c>
      <x:c r="D252" s="23" t="n">
        <x:v>26</x:v>
      </x:c>
      <x:c r="E252" s="23" t="str"/>
      <x:c r="F252" s="23" t="n">
        <x:f>IF(E252="",0,LEN(E252)-LEN(SUBSTITUTE(E252,CHAR(10),""))+1)</x:f>
        <x:v>0</x:v>
      </x:c>
      <x:c r="G252" s="23" t="str"/>
      <x:c r="H252" s="23" t="n">
        <x:f>IF(G252="",0,LEN(G252&amp;"")-LEN(SUBSTITUTE(G252&amp;"",CHAR(10),""))+1)</x:f>
        <x:v>0</x:v>
      </x:c>
      <x:c r="I252" s="23" t="str"/>
      <x:c r="J252" s="23" t="str">
        <x:v>No developed-article link recorded</x:v>
      </x:c>
      <x:c r="K252" s="23" t="str">
        <x:v>Not inferred</x:v>
      </x:c>
      <x:c r="L252" s="34" t="str">
        <x:v>cdd9471cd182293315bdf0f6cfa3ad1437510bfa78c7ed2f8364b8c5b6798846</x:v>
      </x:c>
      <x:c r="M252" s="32" t="n">
        <x:v>42149</x:v>
      </x:c>
      <x:c r="N252" s="23" t="str">
        <x:v>https://v5ma.github.io/theology-wiki/san-reader.html?page=original-sin-vs-ezekiel</x:v>
      </x:c>
    </x:row>
    <x:row r="253" ht="56" customHeight="1">
      <x:c r="A253" s="23" t="str">
        <x:v>Parthians and Medes meaning</x:v>
      </x:c>
      <x:c r="B253" s="23" t="str">
        <x:v>gpt2026dragon2684_Parthians_and_Medes_meaning.txt</x:v>
      </x:c>
      <x:c r="C253" s="23" t="str">
        <x:v>2025-10-25</x:v>
      </x:c>
      <x:c r="D253" s="23" t="n">
        <x:v>62</x:v>
      </x:c>
      <x:c r="E253" s="23" t="str">
        <x:v>moses-volcano-and-exodus-chronology
exodus-to-temple-competing-chronologies</x:v>
      </x:c>
      <x:c r="F253" s="23" t="n">
        <x:f>IF(E253="",0,LEN(E253)-LEN(SUBSTITUTE(E253,CHAR(10),""))+1)</x:f>
        <x:v>2</x:v>
      </x:c>
      <x:c r="G253" s="23" t="str">
        <x:v>Turn 23
Turn 29
Turn 46</x:v>
      </x:c>
      <x:c r="H253" s="23" t="n">
        <x:f>IF(G253="",0,LEN(G253&amp;"")-LEN(SUBSTITUTE(G253&amp;"",CHAR(10),""))+1)</x:f>
        <x:v>3</x:v>
      </x:c>
      <x:c r="I253" s="23" t="str">
        <x:v>catastrophe-memory</x:v>
      </x:c>
      <x:c r="J253" s="23" t="str">
        <x:v>Linked to developed article</x:v>
      </x:c>
      <x:c r="K253" s="23" t="str">
        <x:v>Not inferred</x:v>
      </x:c>
      <x:c r="L253" s="34" t="str">
        <x:v>bb9bcbad543b9871a4be878556fcf93650cf625755754b129bf877627cafb120</x:v>
      </x:c>
      <x:c r="M253" s="32" t="n">
        <x:v>147369</x:v>
      </x:c>
      <x:c r="N253" s="23" t="str">
        <x:v>https://v5ma.github.io/theology-wiki/san-reader.html?page=parthians-and-medes-meaning</x:v>
      </x:c>
    </x:row>
    <x:row r="254" ht="56" customHeight="1">
      <x:c r="A254" s="23" t="str">
        <x:v>Paul and the Resurrection</x:v>
      </x:c>
      <x:c r="B254" s="23" t="str">
        <x:v>gpt2026dragon1619_Paul_and_the_Resurrection.txt</x:v>
      </x:c>
      <x:c r="C254" s="23" t="str">
        <x:v>2025-06-03</x:v>
      </x:c>
      <x:c r="D254" s="23" t="n">
        <x:v>8</x:v>
      </x:c>
      <x:c r="E254" s="23" t="str"/>
      <x:c r="F254" s="23" t="n">
        <x:f>IF(E254="",0,LEN(E254)-LEN(SUBSTITUTE(E254,CHAR(10),""))+1)</x:f>
        <x:v>0</x:v>
      </x:c>
      <x:c r="G254" s="23" t="str"/>
      <x:c r="H254" s="23" t="n">
        <x:f>IF(G254="",0,LEN(G254&amp;"")-LEN(SUBSTITUTE(G254&amp;"",CHAR(10),""))+1)</x:f>
        <x:v>0</x:v>
      </x:c>
      <x:c r="I254" s="23" t="str"/>
      <x:c r="J254" s="23" t="str">
        <x:v>No developed-article link recorded</x:v>
      </x:c>
      <x:c r="K254" s="23" t="str">
        <x:v>Not inferred</x:v>
      </x:c>
      <x:c r="L254" s="34" t="str">
        <x:v>6ee940e233685e72a5cdd7e5146bdf518d55930b87dbe012b6d7fa2bffaa011f</x:v>
      </x:c>
      <x:c r="M254" s="32" t="n">
        <x:v>15304</x:v>
      </x:c>
      <x:c r="N254" s="23" t="str">
        <x:v>https://v5ma.github.io/theology-wiki/san-reader.html?page=paul-and-the-resurrection</x:v>
      </x:c>
    </x:row>
    <x:row r="255" ht="56" customHeight="1">
      <x:c r="A255" s="23" t="str">
        <x:v>Paul Mythicism and Sources</x:v>
      </x:c>
      <x:c r="B255" s="23" t="str">
        <x:v>gpt2026dragon1622_Paul_Mythicism_and_Sources.txt</x:v>
      </x:c>
      <x:c r="C255" s="23" t="str">
        <x:v>2025-06-03</x:v>
      </x:c>
      <x:c r="D255" s="23" t="n">
        <x:v>1</x:v>
      </x:c>
      <x:c r="E255" s="23" t="str"/>
      <x:c r="F255" s="23" t="n">
        <x:f>IF(E255="",0,LEN(E255)-LEN(SUBSTITUTE(E255,CHAR(10),""))+1)</x:f>
        <x:v>0</x:v>
      </x:c>
      <x:c r="G255" s="23" t="str"/>
      <x:c r="H255" s="23" t="n">
        <x:f>IF(G255="",0,LEN(G255&amp;"")-LEN(SUBSTITUTE(G255&amp;"",CHAR(10),""))+1)</x:f>
        <x:v>0</x:v>
      </x:c>
      <x:c r="I255" s="23" t="str"/>
      <x:c r="J255" s="23" t="str">
        <x:v>No developed-article link recorded</x:v>
      </x:c>
      <x:c r="K255" s="23" t="str">
        <x:v>Not inferred</x:v>
      </x:c>
      <x:c r="L255" s="34" t="str">
        <x:v>b51d385ddc96678a910f255906a000545742cb22f769a812bfe244359934f917</x:v>
      </x:c>
      <x:c r="M255" s="32" t="n">
        <x:v>4341</x:v>
      </x:c>
      <x:c r="N255" s="23" t="str">
        <x:v>https://v5ma.github.io/theology-wiki/san-reader.html?page=paul-mythicism-and-sources</x:v>
      </x:c>
    </x:row>
    <x:row r="256" ht="56" customHeight="1">
      <x:c r="A256" s="23" t="str">
        <x:v>Paul vs James Movement</x:v>
      </x:c>
      <x:c r="B256" s="23" t="str">
        <x:v>gpt2026dragon1576_Paul_vs_James_Movement.txt</x:v>
      </x:c>
      <x:c r="C256" s="23" t="str">
        <x:v>2025-05-27</x:v>
      </x:c>
      <x:c r="D256" s="23" t="n">
        <x:v>82</x:v>
      </x:c>
      <x:c r="E256" s="23" t="str">
        <x:v>sacred-inheritance-and-rival-continuations
tor-thomas-and-gnostic-transmission</x:v>
      </x:c>
      <x:c r="F256" s="23" t="n">
        <x:f>IF(E256="",0,LEN(E256)-LEN(SUBSTITUTE(E256,CHAR(10),""))+1)</x:f>
        <x:v>2</x:v>
      </x:c>
      <x:c r="G256" s="23" t="str">
        <x:v>Turn 1</x:v>
      </x:c>
      <x:c r="H256" s="23" t="n">
        <x:f>IF(G256="",0,LEN(G256&amp;"")-LEN(SUBSTITUTE(G256&amp;"",CHAR(10),""))+1)</x:f>
        <x:v>1</x:v>
      </x:c>
      <x:c r="I256" s="23" t="str">
        <x:v>shared-archive
thomas
continuing</x:v>
      </x:c>
      <x:c r="J256" s="23" t="str">
        <x:v>Linked to developed article</x:v>
      </x:c>
      <x:c r="K256" s="23" t="str">
        <x:v>Not inferred</x:v>
      </x:c>
      <x:c r="L256" s="34" t="str">
        <x:v>f4140f33480dc7db3f3afb692985c7136a98931f383e1c0d09a3369197beabbe</x:v>
      </x:c>
      <x:c r="M256" s="32" t="n">
        <x:v>100031</x:v>
      </x:c>
      <x:c r="N256" s="23" t="str">
        <x:v>https://v5ma.github.io/theology-wiki/san-reader.html?page=paul-vs-james-movement</x:v>
      </x:c>
    </x:row>
    <x:row r="257" ht="56" customHeight="1">
      <x:c r="A257" s="23" t="str">
        <x:v>Paul vs Jesus Teachings</x:v>
      </x:c>
      <x:c r="B257" s="23" t="str">
        <x:v>gpt2026dragon1583_Paul_vs_Jesus_Teachings.txt</x:v>
      </x:c>
      <x:c r="C257" s="23" t="str">
        <x:v>2025-05-29</x:v>
      </x:c>
      <x:c r="D257" s="23" t="n">
        <x:v>6</x:v>
      </x:c>
      <x:c r="E257" s="23" t="str"/>
      <x:c r="F257" s="23" t="n">
        <x:f>IF(E257="",0,LEN(E257)-LEN(SUBSTITUTE(E257,CHAR(10),""))+1)</x:f>
        <x:v>0</x:v>
      </x:c>
      <x:c r="G257" s="23" t="str"/>
      <x:c r="H257" s="23" t="n">
        <x:f>IF(G257="",0,LEN(G257&amp;"")-LEN(SUBSTITUTE(G257&amp;"",CHAR(10),""))+1)</x:f>
        <x:v>0</x:v>
      </x:c>
      <x:c r="I257" s="23" t="str"/>
      <x:c r="J257" s="23" t="str">
        <x:v>No developed-article link recorded</x:v>
      </x:c>
      <x:c r="K257" s="23" t="str">
        <x:v>Not inferred</x:v>
      </x:c>
      <x:c r="L257" s="34" t="str">
        <x:v>1eda5d571539ef64a91500f3d5d206f6831389d9698e8a164b041dcb2dfb254b</x:v>
      </x:c>
      <x:c r="M257" s="32" t="n">
        <x:v>4196</x:v>
      </x:c>
      <x:c r="N257" s="23" t="str">
        <x:v>https://v5ma.github.io/theology-wiki/san-reader.html?page=paul-vs-jesus-teachings</x:v>
      </x:c>
    </x:row>
    <x:row r="258" ht="56" customHeight="1">
      <x:c r="A258" s="23" t="str">
        <x:v>Paul vs Luke Resurrection</x:v>
      </x:c>
      <x:c r="B258" s="23" t="str">
        <x:v>gpt2026dragon1742_Paul_vs_Luke_Resurrection.txt</x:v>
      </x:c>
      <x:c r="C258" s="23" t="str">
        <x:v>2025-06-22</x:v>
      </x:c>
      <x:c r="D258" s="23" t="n">
        <x:v>7</x:v>
      </x:c>
      <x:c r="E258" s="23" t="str"/>
      <x:c r="F258" s="23" t="n">
        <x:f>IF(E258="",0,LEN(E258)-LEN(SUBSTITUTE(E258,CHAR(10),""))+1)</x:f>
        <x:v>0</x:v>
      </x:c>
      <x:c r="G258" s="23" t="str"/>
      <x:c r="H258" s="23" t="n">
        <x:f>IF(G258="",0,LEN(G258&amp;"")-LEN(SUBSTITUTE(G258&amp;"",CHAR(10),""))+1)</x:f>
        <x:v>0</x:v>
      </x:c>
      <x:c r="I258" s="23" t="str"/>
      <x:c r="J258" s="23" t="str">
        <x:v>No developed-article link recorded</x:v>
      </x:c>
      <x:c r="K258" s="23" t="str">
        <x:v>Not inferred</x:v>
      </x:c>
      <x:c r="L258" s="34" t="str">
        <x:v>c56422b75423baa0d09993e1c9a96e8213941957acd16ee526342c3a683b1868</x:v>
      </x:c>
      <x:c r="M258" s="32" t="n">
        <x:v>20477</x:v>
      </x:c>
      <x:c r="N258" s="23" t="str">
        <x:v>https://v5ma.github.io/theology-wiki/san-reader.html?page=paul-vs-luke-resurrection</x:v>
      </x:c>
    </x:row>
    <x:row r="259" ht="56" customHeight="1">
      <x:c r="A259" s="23" t="str">
        <x:v>Paul's Antichristian Message</x:v>
      </x:c>
      <x:c r="B259" s="23" t="str">
        <x:v>gpt2026dragon1533_Paul_s_Antichristian_Message.txt</x:v>
      </x:c>
      <x:c r="C259" s="23" t="str">
        <x:v>2025-05-21</x:v>
      </x:c>
      <x:c r="D259" s="23" t="n">
        <x:v>4</x:v>
      </x:c>
      <x:c r="E259" s="23" t="str"/>
      <x:c r="F259" s="23" t="n">
        <x:f>IF(E259="",0,LEN(E259)-LEN(SUBSTITUTE(E259,CHAR(10),""))+1)</x:f>
        <x:v>0</x:v>
      </x:c>
      <x:c r="G259" s="23" t="str"/>
      <x:c r="H259" s="23" t="n">
        <x:f>IF(G259="",0,LEN(G259&amp;"")-LEN(SUBSTITUTE(G259&amp;"",CHAR(10),""))+1)</x:f>
        <x:v>0</x:v>
      </x:c>
      <x:c r="I259" s="23" t="str"/>
      <x:c r="J259" s="23" t="str">
        <x:v>No developed-article link recorded</x:v>
      </x:c>
      <x:c r="K259" s="23" t="str">
        <x:v>Not inferred</x:v>
      </x:c>
      <x:c r="L259" s="34" t="str">
        <x:v>a98a446df4bb3b3767449708b6aa74ce874de1e65e2a468b08ef38d14f40b179</x:v>
      </x:c>
      <x:c r="M259" s="32" t="n">
        <x:v>2131</x:v>
      </x:c>
      <x:c r="N259" s="23" t="str">
        <x:v>https://v5ma.github.io/theology-wiki/san-reader.html?page=paul-s-antichristian-message</x:v>
      </x:c>
    </x:row>
    <x:row r="260" ht="56" customHeight="1">
      <x:c r="A260" s="23" t="str">
        <x:v>Peace Deal Credibility</x:v>
      </x:c>
      <x:c r="B260" s="23" t="str">
        <x:v>gpt2026dragon2994_Peace_Deal_Credibility.txt</x:v>
      </x:c>
      <x:c r="C260" s="23" t="str">
        <x:v>2026-01-18</x:v>
      </x:c>
      <x:c r="D260" s="23" t="n">
        <x:v>7</x:v>
      </x:c>
      <x:c r="E260" s="23" t="str"/>
      <x:c r="F260" s="23" t="n">
        <x:f>IF(E260="",0,LEN(E260)-LEN(SUBSTITUTE(E260,CHAR(10),""))+1)</x:f>
        <x:v>0</x:v>
      </x:c>
      <x:c r="G260" s="23" t="str"/>
      <x:c r="H260" s="23" t="n">
        <x:f>IF(G260="",0,LEN(G260&amp;"")-LEN(SUBSTITUTE(G260&amp;"",CHAR(10),""))+1)</x:f>
        <x:v>0</x:v>
      </x:c>
      <x:c r="I260" s="23" t="str"/>
      <x:c r="J260" s="23" t="str">
        <x:v>No developed-article link recorded</x:v>
      </x:c>
      <x:c r="K260" s="23" t="str">
        <x:v>Not inferred</x:v>
      </x:c>
      <x:c r="L260" s="34" t="str">
        <x:v>3f22cbbfcf26799cb6ced25a7954d32713b92580c5f28658671b973cc5b6c92b</x:v>
      </x:c>
      <x:c r="M260" s="32" t="n">
        <x:v>13751</x:v>
      </x:c>
      <x:c r="N260" s="23" t="str">
        <x:v>https://v5ma.github.io/theology-wiki/san-reader.html?page=peace-deal-credibility</x:v>
      </x:c>
    </x:row>
    <x:row r="261" ht="56" customHeight="1">
      <x:c r="A261" s="23" t="str">
        <x:v>Peale and Positive Thinking</x:v>
      </x:c>
      <x:c r="B261" s="23" t="str">
        <x:v>gpt2026dragon2993_Peale_and_Positive_Thinking.txt</x:v>
      </x:c>
      <x:c r="C261" s="23" t="str">
        <x:v>2026-01-17</x:v>
      </x:c>
      <x:c r="D261" s="23" t="n">
        <x:v>10</x:v>
      </x:c>
      <x:c r="E261" s="23" t="str"/>
      <x:c r="F261" s="23" t="n">
        <x:f>IF(E261="",0,LEN(E261)-LEN(SUBSTITUTE(E261,CHAR(10),""))+1)</x:f>
        <x:v>0</x:v>
      </x:c>
      <x:c r="G261" s="23" t="str"/>
      <x:c r="H261" s="23" t="n">
        <x:f>IF(G261="",0,LEN(G261&amp;"")-LEN(SUBSTITUTE(G261&amp;"",CHAR(10),""))+1)</x:f>
        <x:v>0</x:v>
      </x:c>
      <x:c r="I261" s="23" t="str"/>
      <x:c r="J261" s="23" t="str">
        <x:v>No developed-article link recorded</x:v>
      </x:c>
      <x:c r="K261" s="23" t="str">
        <x:v>Not inferred</x:v>
      </x:c>
      <x:c r="L261" s="34" t="str">
        <x:v>9d9adb4dfc7e93c40798259fdebd87fdede81c2e7c31959501f1acd81d7d2d42</x:v>
      </x:c>
      <x:c r="M261" s="32" t="n">
        <x:v>20188</x:v>
      </x:c>
      <x:c r="N261" s="23" t="str">
        <x:v>https://v5ma.github.io/theology-wiki/san-reader.html?page=peale-and-positive-thinking</x:v>
      </x:c>
    </x:row>
    <x:row r="262" ht="56" customHeight="1">
      <x:c r="A262" s="23" t="str">
        <x:v>Philosophical Polarities of Power</x:v>
      </x:c>
      <x:c r="B262" s="23" t="str">
        <x:v>gpt2026dragon1121_Philosophical_Polarities_of_Power.txt</x:v>
      </x:c>
      <x:c r="C262" s="23" t="str">
        <x:v>2025-03-20</x:v>
      </x:c>
      <x:c r="D262" s="23" t="n">
        <x:v>9</x:v>
      </x:c>
      <x:c r="E262" s="23" t="str"/>
      <x:c r="F262" s="23" t="n">
        <x:f>IF(E262="",0,LEN(E262)-LEN(SUBSTITUTE(E262,CHAR(10),""))+1)</x:f>
        <x:v>0</x:v>
      </x:c>
      <x:c r="G262" s="23" t="str"/>
      <x:c r="H262" s="23" t="n">
        <x:f>IF(G262="",0,LEN(G262&amp;"")-LEN(SUBSTITUTE(G262&amp;"",CHAR(10),""))+1)</x:f>
        <x:v>0</x:v>
      </x:c>
      <x:c r="I262" s="23" t="str"/>
      <x:c r="J262" s="23" t="str">
        <x:v>No developed-article link recorded</x:v>
      </x:c>
      <x:c r="K262" s="23" t="str">
        <x:v>Not inferred</x:v>
      </x:c>
      <x:c r="L262" s="34" t="str">
        <x:v>6385500b7b61bf5f2c863f3642c6a2ea6a9acc3eaae165cf685ac226320c16f5</x:v>
      </x:c>
      <x:c r="M262" s="32" t="n">
        <x:v>24326</x:v>
      </x:c>
      <x:c r="N262" s="23" t="str">
        <x:v>https://v5ma.github.io/theology-wiki/san-reader.html?page=philosophical-polarities-of-power</x:v>
      </x:c>
    </x:row>
    <x:row r="263" ht="56" customHeight="1">
      <x:c r="A263" s="23" t="str">
        <x:v>PIE and Mesopotamian References</x:v>
      </x:c>
      <x:c r="B263" s="23" t="str">
        <x:v>gpt2026dragon1096_PIE_and_Mesopotamian_References.txt</x:v>
      </x:c>
      <x:c r="C263" s="23" t="str">
        <x:v>2025-03-13</x:v>
      </x:c>
      <x:c r="D263" s="23" t="n">
        <x:v>24</x:v>
      </x:c>
      <x:c r="E263" s="23" t="str"/>
      <x:c r="F263" s="23" t="n">
        <x:f>IF(E263="",0,LEN(E263)-LEN(SUBSTITUTE(E263,CHAR(10),""))+1)</x:f>
        <x:v>0</x:v>
      </x:c>
      <x:c r="G263" s="23" t="str"/>
      <x:c r="H263" s="23" t="n">
        <x:f>IF(G263="",0,LEN(G263&amp;"")-LEN(SUBSTITUTE(G263&amp;"",CHAR(10),""))+1)</x:f>
        <x:v>0</x:v>
      </x:c>
      <x:c r="I263" s="23" t="str"/>
      <x:c r="J263" s="23" t="str">
        <x:v>No developed-article link recorded</x:v>
      </x:c>
      <x:c r="K263" s="23" t="str">
        <x:v>Not inferred</x:v>
      </x:c>
      <x:c r="L263" s="34" t="str">
        <x:v>ca6731844547b792dc010ddae052e0432770f78130e07565e400a58279b26300</x:v>
      </x:c>
      <x:c r="M263" s="32" t="n">
        <x:v>120159</x:v>
      </x:c>
      <x:c r="N263" s="23" t="str">
        <x:v>https://v5ma.github.io/theology-wiki/san-reader.html?page=pie-and-mesopotamian-references</x:v>
      </x:c>
    </x:row>
    <x:row r="264" ht="56" customHeight="1">
      <x:c r="A264" s="23" t="str">
        <x:v>Pilate life timeline</x:v>
      </x:c>
      <x:c r="B264" s="23" t="str">
        <x:v>gpt2026dragon2333_Pilate_life_timeline.txt</x:v>
      </x:c>
      <x:c r="C264" s="23" t="str">
        <x:v>2025-09-08</x:v>
      </x:c>
      <x:c r="D264" s="23" t="n">
        <x:v>21</x:v>
      </x:c>
      <x:c r="E264" s="23" t="str">
        <x:v>jesus-teacher-of-righteousness-hypothesis</x:v>
      </x:c>
      <x:c r="F264" s="23" t="n">
        <x:f>IF(E264="",0,LEN(E264)-LEN(SUBSTITUTE(E264,CHAR(10),""))+1)</x:f>
        <x:v>1</x:v>
      </x:c>
      <x:c r="G264" s="23" t="str"/>
      <x:c r="H264" s="23" t="n">
        <x:f>IF(G264="",0,LEN(G264&amp;"")-LEN(SUBSTITUTE(G264&amp;"",CHAR(10),""))+1)</x:f>
        <x:v>0</x:v>
      </x:c>
      <x:c r="I264" s="23" t="str">
        <x:v>teacher-identity</x:v>
      </x:c>
      <x:c r="J264" s="23" t="str">
        <x:v>Linked to developed article</x:v>
      </x:c>
      <x:c r="K264" s="23" t="str">
        <x:v>Not inferred</x:v>
      </x:c>
      <x:c r="L264" s="34" t="str">
        <x:v>756823b22f4260c1a4ada60a2c25c3365209822c10a4689acc0947b13b6cb0d8</x:v>
      </x:c>
      <x:c r="M264" s="32" t="n">
        <x:v>76033</x:v>
      </x:c>
      <x:c r="N264" s="23" t="str">
        <x:v>https://v5ma.github.io/theology-wiki/san-reader.html?page=pilate-life-timeline</x:v>
      </x:c>
    </x:row>
    <x:row r="265" ht="56" customHeight="1">
      <x:c r="A265" s="23" t="str">
        <x:v>Pistis Sophia Summary</x:v>
      </x:c>
      <x:c r="B265" s="23" t="str">
        <x:v>gpt2026dragon1079_Pistis_Sophia_Summary.txt</x:v>
      </x:c>
      <x:c r="C265" s="23" t="str">
        <x:v>2025-03-09</x:v>
      </x:c>
      <x:c r="D265" s="23" t="n">
        <x:v>12</x:v>
      </x:c>
      <x:c r="E265" s="23" t="str"/>
      <x:c r="F265" s="23" t="n">
        <x:f>IF(E265="",0,LEN(E265)-LEN(SUBSTITUTE(E265,CHAR(10),""))+1)</x:f>
        <x:v>0</x:v>
      </x:c>
      <x:c r="G265" s="23" t="str"/>
      <x:c r="H265" s="23" t="n">
        <x:f>IF(G265="",0,LEN(G265&amp;"")-LEN(SUBSTITUTE(G265&amp;"",CHAR(10),""))+1)</x:f>
        <x:v>0</x:v>
      </x:c>
      <x:c r="I265" s="23" t="str"/>
      <x:c r="J265" s="23" t="str">
        <x:v>No developed-article link recorded</x:v>
      </x:c>
      <x:c r="K265" s="23" t="str">
        <x:v>Not inferred</x:v>
      </x:c>
      <x:c r="L265" s="34" t="str">
        <x:v>0f896d81bf94ace6436811fa371dba5bd93a41a7bb16c1989c94a32234f7e1c6</x:v>
      </x:c>
      <x:c r="M265" s="32" t="n">
        <x:v>19286</x:v>
      </x:c>
      <x:c r="N265" s="23" t="str">
        <x:v>https://v5ma.github.io/theology-wiki/san-reader.html?page=pistis-sophia-summary</x:v>
      </x:c>
    </x:row>
    <x:row r="266" ht="56" customHeight="1">
      <x:c r="A266" s="23" t="str">
        <x:v>Plato Hermeticism and Vibration</x:v>
      </x:c>
      <x:c r="B266" s="23" t="str">
        <x:v>gpt2026dragon1418_Plato_Hermeticism_and_Vibration.txt</x:v>
      </x:c>
      <x:c r="C266" s="23" t="str">
        <x:v>2025-05-02</x:v>
      </x:c>
      <x:c r="D266" s="23" t="n">
        <x:v>5</x:v>
      </x:c>
      <x:c r="E266" s="23" t="str"/>
      <x:c r="F266" s="23" t="n">
        <x:f>IF(E266="",0,LEN(E266)-LEN(SUBSTITUTE(E266,CHAR(10),""))+1)</x:f>
        <x:v>0</x:v>
      </x:c>
      <x:c r="G266" s="23" t="str"/>
      <x:c r="H266" s="23" t="n">
        <x:f>IF(G266="",0,LEN(G266&amp;"")-LEN(SUBSTITUTE(G266&amp;"",CHAR(10),""))+1)</x:f>
        <x:v>0</x:v>
      </x:c>
      <x:c r="I266" s="23" t="str"/>
      <x:c r="J266" s="23" t="str">
        <x:v>No developed-article link recorded</x:v>
      </x:c>
      <x:c r="K266" s="23" t="str">
        <x:v>Not inferred</x:v>
      </x:c>
      <x:c r="L266" s="34" t="str">
        <x:v>25744e18ef396d7de1770f122bdd381695a89e35e3bf0657a68c844170fd18b9</x:v>
      </x:c>
      <x:c r="M266" s="32" t="n">
        <x:v>61717</x:v>
      </x:c>
      <x:c r="N266" s="23" t="str">
        <x:v>https://v5ma.github.io/theology-wiki/san-reader.html?page=plato-hermeticism-and-vibration</x:v>
      </x:c>
    </x:row>
    <x:row r="267" ht="56" customHeight="1">
      <x:c r="A267" s="23" t="str">
        <x:v>Platonic Jewish Christianity Framework</x:v>
      </x:c>
      <x:c r="B267" s="23" t="str">
        <x:v>gpt2026dragon1657_Platonic_Jewish_Christianity_Framework.txt</x:v>
      </x:c>
      <x:c r="C267" s="23" t="str">
        <x:v>2025-06-09</x:v>
      </x:c>
      <x:c r="D267" s="23" t="n">
        <x:v>1</x:v>
      </x:c>
      <x:c r="E267" s="23" t="str"/>
      <x:c r="F267" s="23" t="n">
        <x:f>IF(E267="",0,LEN(E267)-LEN(SUBSTITUTE(E267,CHAR(10),""))+1)</x:f>
        <x:v>0</x:v>
      </x:c>
      <x:c r="G267" s="23" t="str"/>
      <x:c r="H267" s="23" t="n">
        <x:f>IF(G267="",0,LEN(G267&amp;"")-LEN(SUBSTITUTE(G267&amp;"",CHAR(10),""))+1)</x:f>
        <x:v>0</x:v>
      </x:c>
      <x:c r="I267" s="23" t="str"/>
      <x:c r="J267" s="23" t="str">
        <x:v>No developed-article link recorded</x:v>
      </x:c>
      <x:c r="K267" s="23" t="str">
        <x:v>Not inferred</x:v>
      </x:c>
      <x:c r="L267" s="34" t="str">
        <x:v>32c6da6c3e4a3305aae078b27022e8315d5f849ae5181491e23298130345a51a</x:v>
      </x:c>
      <x:c r="M267" s="32" t="n">
        <x:v>3273</x:v>
      </x:c>
      <x:c r="N267" s="23" t="str">
        <x:v>https://v5ma.github.io/theology-wiki/san-reader.html?page=platonic-jewish-christianity-framework</x:v>
      </x:c>
    </x:row>
    <x:row r="268" ht="56" customHeight="1">
      <x:c r="A268" s="23" t="str">
        <x:v>Pope Francis and Ukraine</x:v>
      </x:c>
      <x:c r="B268" s="23" t="str">
        <x:v>gpt2026dragon1341_Pope_Francis_and_Ukraine.txt</x:v>
      </x:c>
      <x:c r="C268" s="23" t="str">
        <x:v>2025-04-21</x:v>
      </x:c>
      <x:c r="D268" s="23" t="n">
        <x:v>2</x:v>
      </x:c>
      <x:c r="E268" s="23" t="str"/>
      <x:c r="F268" s="23" t="n">
        <x:f>IF(E268="",0,LEN(E268)-LEN(SUBSTITUTE(E268,CHAR(10),""))+1)</x:f>
        <x:v>0</x:v>
      </x:c>
      <x:c r="G268" s="23" t="str"/>
      <x:c r="H268" s="23" t="n">
        <x:f>IF(G268="",0,LEN(G268&amp;"")-LEN(SUBSTITUTE(G268&amp;"",CHAR(10),""))+1)</x:f>
        <x:v>0</x:v>
      </x:c>
      <x:c r="I268" s="23" t="str"/>
      <x:c r="J268" s="23" t="str">
        <x:v>No developed-article link recorded</x:v>
      </x:c>
      <x:c r="K268" s="23" t="str">
        <x:v>Not inferred</x:v>
      </x:c>
      <x:c r="L268" s="34" t="str">
        <x:v>6f3d8756c8237b7574012e54ca89eaf9b4262cf0b2604cfbc674c624866a4bd9</x:v>
      </x:c>
      <x:c r="M268" s="32" t="n">
        <x:v>1182</x:v>
      </x:c>
      <x:c r="N268" s="23" t="str">
        <x:v>https://v5ma.github.io/theology-wiki/san-reader.html?page=pope-francis-and-ukraine</x:v>
      </x:c>
    </x:row>
    <x:row r="269" ht="56" customHeight="1">
      <x:c r="A269" s="23" t="str">
        <x:v>Pope Leo XIV Criticizes Vance</x:v>
      </x:c>
      <x:c r="B269" s="23" t="str">
        <x:v>gpt2026dragon1520_Pope_Leo_XIV_Criticizes_Vance.txt</x:v>
      </x:c>
      <x:c r="C269" s="23" t="str">
        <x:v>2025-05-18</x:v>
      </x:c>
      <x:c r="D269" s="23" t="n">
        <x:v>103</x:v>
      </x:c>
      <x:c r="E269" s="23" t="str"/>
      <x:c r="F269" s="23" t="n">
        <x:f>IF(E269="",0,LEN(E269)-LEN(SUBSTITUTE(E269,CHAR(10),""))+1)</x:f>
        <x:v>0</x:v>
      </x:c>
      <x:c r="G269" s="23" t="str"/>
      <x:c r="H269" s="23" t="n">
        <x:f>IF(G269="",0,LEN(G269&amp;"")-LEN(SUBSTITUTE(G269&amp;"",CHAR(10),""))+1)</x:f>
        <x:v>0</x:v>
      </x:c>
      <x:c r="I269" s="23" t="str"/>
      <x:c r="J269" s="23" t="str">
        <x:v>No developed-article link recorded</x:v>
      </x:c>
      <x:c r="K269" s="23" t="str">
        <x:v>Not inferred</x:v>
      </x:c>
      <x:c r="L269" s="34" t="str">
        <x:v>1542cbf448df42e0501d6ab39419c65dd87b49503fc189b9dbf505893304b80f</x:v>
      </x:c>
      <x:c r="M269" s="32" t="n">
        <x:v>91253</x:v>
      </x:c>
      <x:c r="N269" s="23" t="str">
        <x:v>https://v5ma.github.io/theology-wiki/san-reader.html?page=pope-leo-xiv-criticizes-vance</x:v>
      </x:c>
    </x:row>
    <x:row r="270" ht="56" customHeight="1">
      <x:c r="A270" s="23" t="str">
        <x:v>Praise Poem Creation</x:v>
      </x:c>
      <x:c r="B270" s="23" t="str">
        <x:v>gpt2026dragon1396_Praise_Poem_Creation.txt</x:v>
      </x:c>
      <x:c r="C270" s="23" t="str">
        <x:v>2025-04-28</x:v>
      </x:c>
      <x:c r="D270" s="23" t="n">
        <x:v>14</x:v>
      </x:c>
      <x:c r="E270" s="23" t="str"/>
      <x:c r="F270" s="23" t="n">
        <x:f>IF(E270="",0,LEN(E270)-LEN(SUBSTITUTE(E270,CHAR(10),""))+1)</x:f>
        <x:v>0</x:v>
      </x:c>
      <x:c r="G270" s="23" t="str"/>
      <x:c r="H270" s="23" t="n">
        <x:f>IF(G270="",0,LEN(G270&amp;"")-LEN(SUBSTITUTE(G270&amp;"",CHAR(10),""))+1)</x:f>
        <x:v>0</x:v>
      </x:c>
      <x:c r="I270" s="23" t="str"/>
      <x:c r="J270" s="23" t="str">
        <x:v>No developed-article link recorded</x:v>
      </x:c>
      <x:c r="K270" s="23" t="str">
        <x:v>Not inferred</x:v>
      </x:c>
      <x:c r="L270" s="34" t="str">
        <x:v>c153cfb16cdb8e416c31b5dfa1e8080bf488b9a0a29539ca0e922098c65674ca</x:v>
      </x:c>
      <x:c r="M270" s="32" t="n">
        <x:v>15978</x:v>
      </x:c>
      <x:c r="N270" s="23" t="str">
        <x:v>https://v5ma.github.io/theology-wiki/san-reader.html?page=praise-poem-creation</x:v>
      </x:c>
    </x:row>
    <x:row r="271" ht="56" customHeight="1">
      <x:c r="A271" s="23" t="str">
        <x:v>Proof of God's existence</x:v>
      </x:c>
      <x:c r="B271" s="23" t="str">
        <x:v>gpt2026dragon2634_Proof_of_God_s_existence.txt</x:v>
      </x:c>
      <x:c r="C271" s="23" t="str">
        <x:v>2025-10-18</x:v>
      </x:c>
      <x:c r="D271" s="23" t="n">
        <x:v>69</x:v>
      </x:c>
      <x:c r="E271" s="23" t="str"/>
      <x:c r="F271" s="23" t="n">
        <x:f>IF(E271="",0,LEN(E271)-LEN(SUBSTITUTE(E271,CHAR(10),""))+1)</x:f>
        <x:v>0</x:v>
      </x:c>
      <x:c r="G271" s="23" t="str"/>
      <x:c r="H271" s="23" t="n">
        <x:f>IF(G271="",0,LEN(G271&amp;"")-LEN(SUBSTITUTE(G271&amp;"",CHAR(10),""))+1)</x:f>
        <x:v>0</x:v>
      </x:c>
      <x:c r="I271" s="23" t="str"/>
      <x:c r="J271" s="23" t="str">
        <x:v>No developed-article link recorded</x:v>
      </x:c>
      <x:c r="K271" s="23" t="str">
        <x:v>Not inferred</x:v>
      </x:c>
      <x:c r="L271" s="34" t="str">
        <x:v>9ee1e46cc211ad1b6270b4d99c8dca5170e2d9e0b56b0ceb5a4a98ed962cc27f</x:v>
      </x:c>
      <x:c r="M271" s="32" t="n">
        <x:v>1103538</x:v>
      </x:c>
      <x:c r="N271" s="23" t="str">
        <x:v>https://v5ma.github.io/theology-wiki/san-reader.html?page=proof-of-god-s-existence</x:v>
      </x:c>
    </x:row>
    <x:row r="272" ht="56" customHeight="1">
      <x:c r="A272" s="23" t="str">
        <x:v>Proof of God's existence</x:v>
      </x:c>
      <x:c r="B272" s="23" t="str">
        <x:v>gpt2026dragon2626_Proof_of_God_s_existence.txt</x:v>
      </x:c>
      <x:c r="C272" s="23" t="str">
        <x:v>2025-10-16</x:v>
      </x:c>
      <x:c r="D272" s="23" t="n">
        <x:v>9</x:v>
      </x:c>
      <x:c r="E272" s="23" t="str"/>
      <x:c r="F272" s="23" t="n">
        <x:f>IF(E272="",0,LEN(E272)-LEN(SUBSTITUTE(E272,CHAR(10),""))+1)</x:f>
        <x:v>0</x:v>
      </x:c>
      <x:c r="G272" s="23" t="str"/>
      <x:c r="H272" s="23" t="n">
        <x:f>IF(G272="",0,LEN(G272&amp;"")-LEN(SUBSTITUTE(G272&amp;"",CHAR(10),""))+1)</x:f>
        <x:v>0</x:v>
      </x:c>
      <x:c r="I272" s="23" t="str"/>
      <x:c r="J272" s="23" t="str">
        <x:v>No developed-article link recorded</x:v>
      </x:c>
      <x:c r="K272" s="23" t="str">
        <x:v>Not inferred</x:v>
      </x:c>
      <x:c r="L272" s="34" t="str">
        <x:v>91a5ee75d4bc11525eb809ec35ace2ad43c2a2eaaa073e0dcd619d55e0950d7f</x:v>
      </x:c>
      <x:c r="M272" s="32" t="n">
        <x:v>35827</x:v>
      </x:c>
      <x:c r="N272" s="23" t="str">
        <x:v>https://v5ma.github.io/theology-wiki/san-reader.html?page=proof-of-god-s-existence-2</x:v>
      </x:c>
    </x:row>
    <x:row r="273" ht="56" customHeight="1">
      <x:c r="A273" s="23" t="str">
        <x:v>Proving Netanyahu's claims</x:v>
      </x:c>
      <x:c r="B273" s="23" t="str">
        <x:v>gpt2026dragon2487_Proving_Netanyahu_s_claims.txt</x:v>
      </x:c>
      <x:c r="C273" s="23" t="str">
        <x:v>2025-09-28</x:v>
      </x:c>
      <x:c r="D273" s="23" t="n">
        <x:v>9</x:v>
      </x:c>
      <x:c r="E273" s="23" t="str"/>
      <x:c r="F273" s="23" t="n">
        <x:f>IF(E273="",0,LEN(E273)-LEN(SUBSTITUTE(E273,CHAR(10),""))+1)</x:f>
        <x:v>0</x:v>
      </x:c>
      <x:c r="G273" s="23" t="str"/>
      <x:c r="H273" s="23" t="n">
        <x:f>IF(G273="",0,LEN(G273&amp;"")-LEN(SUBSTITUTE(G273&amp;"",CHAR(10),""))+1)</x:f>
        <x:v>0</x:v>
      </x:c>
      <x:c r="I273" s="23" t="str"/>
      <x:c r="J273" s="23" t="str">
        <x:v>No developed-article link recorded</x:v>
      </x:c>
      <x:c r="K273" s="23" t="str">
        <x:v>Not inferred</x:v>
      </x:c>
      <x:c r="L273" s="34" t="str">
        <x:v>82c4bd2836dac0ceaa934298df23ac20d6021c3a86e626712117c905db032c3b</x:v>
      </x:c>
      <x:c r="M273" s="32" t="n">
        <x:v>51520</x:v>
      </x:c>
      <x:c r="N273" s="23" t="str">
        <x:v>https://v5ma.github.io/theology-wiki/san-reader.html?page=proving-netanyahu-s-claims</x:v>
      </x:c>
    </x:row>
    <x:row r="274" ht="56" customHeight="1">
      <x:c r="A274" s="23" t="str">
        <x:v>Psychedelic spiritual experiences</x:v>
      </x:c>
      <x:c r="B274" s="23" t="str">
        <x:v>gpt2026dragon2482_Psychedelic_spiritual_experiences.txt</x:v>
      </x:c>
      <x:c r="C274" s="23" t="str">
        <x:v>2025-09-27</x:v>
      </x:c>
      <x:c r="D274" s="23" t="n">
        <x:v>10</x:v>
      </x:c>
      <x:c r="E274" s="23" t="str"/>
      <x:c r="F274" s="23" t="n">
        <x:f>IF(E274="",0,LEN(E274)-LEN(SUBSTITUTE(E274,CHAR(10),""))+1)</x:f>
        <x:v>0</x:v>
      </x:c>
      <x:c r="G274" s="23" t="str"/>
      <x:c r="H274" s="23" t="n">
        <x:f>IF(G274="",0,LEN(G274&amp;"")-LEN(SUBSTITUTE(G274&amp;"",CHAR(10),""))+1)</x:f>
        <x:v>0</x:v>
      </x:c>
      <x:c r="I274" s="23" t="str"/>
      <x:c r="J274" s="23" t="str">
        <x:v>No developed-article link recorded</x:v>
      </x:c>
      <x:c r="K274" s="23" t="str">
        <x:v>Not inferred</x:v>
      </x:c>
      <x:c r="L274" s="34" t="str">
        <x:v>7c787aa5cf053bdced43432b47b736d254ce0be4cd271a276221e4c76073b0d4</x:v>
      </x:c>
      <x:c r="M274" s="32" t="n">
        <x:v>37970</x:v>
      </x:c>
      <x:c r="N274" s="23" t="str">
        <x:v>https://v5ma.github.io/theology-wiki/san-reader.html?page=psychedelic-spiritual-experiences</x:v>
      </x:c>
    </x:row>
    <x:row r="275" ht="56" customHeight="1">
      <x:c r="A275" s="23" t="str">
        <x:v>Publishing Cognitive Gnosticism First</x:v>
      </x:c>
      <x:c r="B275" s="23" t="str">
        <x:v>gpt2026dragon1003_Publishing_Cognitive_Gnosticism_First.txt</x:v>
      </x:c>
      <x:c r="C275" s="23" t="str">
        <x:v>2025-02-26</x:v>
      </x:c>
      <x:c r="D275" s="23" t="n">
        <x:v>3</x:v>
      </x:c>
      <x:c r="E275" s="23" t="str">
        <x:v>cognitive-gnosticism</x:v>
      </x:c>
      <x:c r="F275" s="23" t="n">
        <x:f>IF(E275="",0,LEN(E275)-LEN(SUBSTITUTE(E275,CHAR(10),""))+1)</x:f>
        <x:v>1</x:v>
      </x:c>
      <x:c r="G275" s="23" t="str"/>
      <x:c r="H275" s="23" t="n">
        <x:f>IF(G275="",0,LEN(G275&amp;"")-LEN(SUBSTITUTE(G275&amp;"",CHAR(10),""))+1)</x:f>
        <x:v>0</x:v>
      </x:c>
      <x:c r="I275" s="23" t="str">
        <x:v>gnosis</x:v>
      </x:c>
      <x:c r="J275" s="23" t="str">
        <x:v>Linked to developed article</x:v>
      </x:c>
      <x:c r="K275" s="23" t="str">
        <x:v>Not inferred</x:v>
      </x:c>
      <x:c r="L275" s="34" t="str">
        <x:v>c2e907cb982ad7837f503226782b0ac88b012990348d79ffdbb1b812af4c7da6</x:v>
      </x:c>
      <x:c r="M275" s="32" t="n">
        <x:v>7065</x:v>
      </x:c>
      <x:c r="N275" s="23" t="str">
        <x:v>https://v5ma.github.io/theology-wiki/san-reader.html?page=publishing-cognitive-gnosticism-first</x:v>
      </x:c>
    </x:row>
    <x:row r="276" ht="56" customHeight="1">
      <x:c r="A276" s="23" t="str">
        <x:v>Putin's Global Strategy</x:v>
      </x:c>
      <x:c r="B276" s="23" t="str">
        <x:v>gpt2026dragon938_Putin_s_Global_Strategy.txt</x:v>
      </x:c>
      <x:c r="C276" s="23" t="str">
        <x:v>2025-02-14</x:v>
      </x:c>
      <x:c r="D276" s="23" t="n">
        <x:v>3</x:v>
      </x:c>
      <x:c r="E276" s="23" t="str"/>
      <x:c r="F276" s="23" t="n">
        <x:f>IF(E276="",0,LEN(E276)-LEN(SUBSTITUTE(E276,CHAR(10),""))+1)</x:f>
        <x:v>0</x:v>
      </x:c>
      <x:c r="G276" s="23" t="str"/>
      <x:c r="H276" s="23" t="n">
        <x:f>IF(G276="",0,LEN(G276&amp;"")-LEN(SUBSTITUTE(G276&amp;"",CHAR(10),""))+1)</x:f>
        <x:v>0</x:v>
      </x:c>
      <x:c r="I276" s="23" t="str"/>
      <x:c r="J276" s="23" t="str">
        <x:v>No developed-article link recorded</x:v>
      </x:c>
      <x:c r="K276" s="23" t="str">
        <x:v>Not inferred</x:v>
      </x:c>
      <x:c r="L276" s="34" t="str">
        <x:v>2181625559f1c8b333d6473abcd9903a5894128aa043c480611458f2fae322e5</x:v>
      </x:c>
      <x:c r="M276" s="32" t="n">
        <x:v>7131</x:v>
      </x:c>
      <x:c r="N276" s="23" t="str">
        <x:v>https://v5ma.github.io/theology-wiki/san-reader.html?page=putin-s-global-strategy</x:v>
      </x:c>
    </x:row>
    <x:row r="277" ht="56" customHeight="1">
      <x:c r="A277" s="23" t="str">
        <x:v>QGTCD research mapping</x:v>
      </x:c>
      <x:c r="B277" s="23" t="str">
        <x:v>gpt2026dragon2439_QGTCD_research_mapping.txt</x:v>
      </x:c>
      <x:c r="C277" s="23" t="str">
        <x:v>2025-09-22</x:v>
      </x:c>
      <x:c r="D277" s="23" t="n">
        <x:v>28</x:v>
      </x:c>
      <x:c r="E277" s="23" t="str"/>
      <x:c r="F277" s="23" t="n">
        <x:f>IF(E277="",0,LEN(E277)-LEN(SUBSTITUTE(E277,CHAR(10),""))+1)</x:f>
        <x:v>0</x:v>
      </x:c>
      <x:c r="G277" s="23" t="str"/>
      <x:c r="H277" s="23" t="n">
        <x:f>IF(G277="",0,LEN(G277&amp;"")-LEN(SUBSTITUTE(G277&amp;"",CHAR(10),""))+1)</x:f>
        <x:v>0</x:v>
      </x:c>
      <x:c r="I277" s="23" t="str"/>
      <x:c r="J277" s="23" t="str">
        <x:v>No developed-article link recorded</x:v>
      </x:c>
      <x:c r="K277" s="23" t="str">
        <x:v>Not inferred</x:v>
      </x:c>
      <x:c r="L277" s="34" t="str">
        <x:v>5cc854c1340c69d41b61f47ed09f2b6b0b6af64c672d8f986d8d82162caa95f6</x:v>
      </x:c>
      <x:c r="M277" s="32" t="n">
        <x:v>577069</x:v>
      </x:c>
      <x:c r="N277" s="23" t="str">
        <x:v>https://v5ma.github.io/theology-wiki/san-reader.html?page=qgtcd-research-mapping</x:v>
      </x:c>
    </x:row>
    <x:row r="278" ht="56" customHeight="1">
      <x:c r="A278" s="23" t="str">
        <x:v>Quantum Entanglement and Communication</x:v>
      </x:c>
      <x:c r="B278" s="23" t="str">
        <x:v>gpt2026dragon1636_Quantum_Entanglement_and_Communication.txt</x:v>
      </x:c>
      <x:c r="C278" s="23" t="str">
        <x:v>2025-06-05</x:v>
      </x:c>
      <x:c r="D278" s="23" t="n">
        <x:v>15</x:v>
      </x:c>
      <x:c r="E278" s="23" t="str"/>
      <x:c r="F278" s="23" t="n">
        <x:f>IF(E278="",0,LEN(E278)-LEN(SUBSTITUTE(E278,CHAR(10),""))+1)</x:f>
        <x:v>0</x:v>
      </x:c>
      <x:c r="G278" s="23" t="str"/>
      <x:c r="H278" s="23" t="n">
        <x:f>IF(G278="",0,LEN(G278&amp;"")-LEN(SUBSTITUTE(G278&amp;"",CHAR(10),""))+1)</x:f>
        <x:v>0</x:v>
      </x:c>
      <x:c r="I278" s="23" t="str"/>
      <x:c r="J278" s="23" t="str">
        <x:v>No developed-article link recorded</x:v>
      </x:c>
      <x:c r="K278" s="23" t="str">
        <x:v>Not inferred</x:v>
      </x:c>
      <x:c r="L278" s="34" t="str">
        <x:v>e8df40eaae3b218db4d561d0fe7466ae23a1cdebc8482530ff1f53ce9069346d</x:v>
      </x:c>
      <x:c r="M278" s="32" t="n">
        <x:v>28430</x:v>
      </x:c>
      <x:c r="N278" s="23" t="str">
        <x:v>https://v5ma.github.io/theology-wiki/san-reader.html?page=quantum-entanglement-and-communication</x:v>
      </x:c>
    </x:row>
    <x:row r="279" ht="56" customHeight="1">
      <x:c r="A279" s="23" t="str">
        <x:v>Quantum Time Solution: Hubble</x:v>
      </x:c>
      <x:c r="B279" s="23" t="str">
        <x:v>gpt2026dragon102_Quantum_Time_Solution_Hubble.txt</x:v>
      </x:c>
      <x:c r="C279" s="23" t="str">
        <x:v>2024-05-20</x:v>
      </x:c>
      <x:c r="D279" s="23" t="n">
        <x:v>3</x:v>
      </x:c>
      <x:c r="E279" s="23" t="str"/>
      <x:c r="F279" s="23" t="n">
        <x:f>IF(E279="",0,LEN(E279)-LEN(SUBSTITUTE(E279,CHAR(10),""))+1)</x:f>
        <x:v>0</x:v>
      </x:c>
      <x:c r="G279" s="23" t="str"/>
      <x:c r="H279" s="23" t="n">
        <x:f>IF(G279="",0,LEN(G279&amp;"")-LEN(SUBSTITUTE(G279&amp;"",CHAR(10),""))+1)</x:f>
        <x:v>0</x:v>
      </x:c>
      <x:c r="I279" s="23" t="str"/>
      <x:c r="J279" s="23" t="str">
        <x:v>No developed-article link recorded</x:v>
      </x:c>
      <x:c r="K279" s="23" t="str">
        <x:v>Not inferred</x:v>
      </x:c>
      <x:c r="L279" s="34" t="str">
        <x:v>983825066d2a6120f64b134358b3333f60d6de46a9800441e4b226647d08643e</x:v>
      </x:c>
      <x:c r="M279" s="32" t="n">
        <x:v>47372</x:v>
      </x:c>
      <x:c r="N279" s="23" t="str">
        <x:v>https://v5ma.github.io/theology-wiki/san-reader.html?page=quantum-time-solution-hubble</x:v>
      </x:c>
    </x:row>
    <x:row r="280" ht="56" customHeight="1">
      <x:c r="A280" s="23" t="str">
        <x:v>Qumran messianic figures</x:v>
      </x:c>
      <x:c r="B280" s="23" t="str">
        <x:v>gpt2026dragon2691_Qumran_messianic_figures.txt</x:v>
      </x:c>
      <x:c r="C280" s="23" t="str">
        <x:v>2025-10-27</x:v>
      </x:c>
      <x:c r="D280" s="23" t="n">
        <x:v>20</x:v>
      </x:c>
      <x:c r="E280" s="23" t="str"/>
      <x:c r="F280" s="23" t="n">
        <x:f>IF(E280="",0,LEN(E280)-LEN(SUBSTITUTE(E280,CHAR(10),""))+1)</x:f>
        <x:v>0</x:v>
      </x:c>
      <x:c r="G280" s="23" t="str"/>
      <x:c r="H280" s="23" t="n">
        <x:f>IF(G280="",0,LEN(G280&amp;"")-LEN(SUBSTITUTE(G280&amp;"",CHAR(10),""))+1)</x:f>
        <x:v>0</x:v>
      </x:c>
      <x:c r="I280" s="23" t="str"/>
      <x:c r="J280" s="23" t="str">
        <x:v>No developed-article link recorded</x:v>
      </x:c>
      <x:c r="K280" s="23" t="str">
        <x:v>Not inferred</x:v>
      </x:c>
      <x:c r="L280" s="34" t="str">
        <x:v>d1c9b400af5b5b0bbfa88c8582e5bc80e01bf099f954823132f5a442ed441073</x:v>
      </x:c>
      <x:c r="M280" s="32" t="n">
        <x:v>22595</x:v>
      </x:c>
      <x:c r="N280" s="23" t="str">
        <x:v>https://v5ma.github.io/theology-wiki/san-reader.html?page=qumran-messianic-figures</x:v>
      </x:c>
    </x:row>
    <x:row r="281" ht="56" customHeight="1">
      <x:c r="A281" s="23" t="str">
        <x:v>Qumran Survival Theory</x:v>
      </x:c>
      <x:c r="B281" s="23" t="str">
        <x:v>gpt2026dragon599_Qumran_Survival_Theory.txt</x:v>
      </x:c>
      <x:c r="C281" s="23" t="str">
        <x:v>2024-12-30</x:v>
      </x:c>
      <x:c r="D281" s="23" t="n">
        <x:v>3</x:v>
      </x:c>
      <x:c r="E281" s="23" t="str"/>
      <x:c r="F281" s="23" t="n">
        <x:f>IF(E281="",0,LEN(E281)-LEN(SUBSTITUTE(E281,CHAR(10),""))+1)</x:f>
        <x:v>0</x:v>
      </x:c>
      <x:c r="G281" s="23" t="str"/>
      <x:c r="H281" s="23" t="n">
        <x:f>IF(G281="",0,LEN(G281&amp;"")-LEN(SUBSTITUTE(G281&amp;"",CHAR(10),""))+1)</x:f>
        <x:v>0</x:v>
      </x:c>
      <x:c r="I281" s="23" t="str"/>
      <x:c r="J281" s="23" t="str">
        <x:v>No developed-article link recorded</x:v>
      </x:c>
      <x:c r="K281" s="23" t="str">
        <x:v>Not inferred</x:v>
      </x:c>
      <x:c r="L281" s="34" t="str">
        <x:v>fd30db20ad225c3bb9b849fd7a325260429f3c89b74e6a7bc210a847f1b91127</x:v>
      </x:c>
      <x:c r="M281" s="32" t="n">
        <x:v>5244</x:v>
      </x:c>
      <x:c r="N281" s="23" t="str">
        <x:v>https://v5ma.github.io/theology-wiki/san-reader.html?page=qumran-survival-theory</x:v>
      </x:c>
    </x:row>
    <x:row r="282" ht="56" customHeight="1">
      <x:c r="A282" s="23" t="str">
        <x:v>Qumran Text History</x:v>
      </x:c>
      <x:c r="B282" s="23" t="str">
        <x:v>gpt2026dragon848_Qumran_Text_History.txt</x:v>
      </x:c>
      <x:c r="C282" s="23" t="str">
        <x:v>2025-02-03</x:v>
      </x:c>
      <x:c r="D282" s="23" t="n">
        <x:v>3</x:v>
      </x:c>
      <x:c r="E282" s="23" t="str"/>
      <x:c r="F282" s="23" t="n">
        <x:f>IF(E282="",0,LEN(E282)-LEN(SUBSTITUTE(E282,CHAR(10),""))+1)</x:f>
        <x:v>0</x:v>
      </x:c>
      <x:c r="G282" s="23" t="str"/>
      <x:c r="H282" s="23" t="n">
        <x:f>IF(G282="",0,LEN(G282&amp;"")-LEN(SUBSTITUTE(G282&amp;"",CHAR(10),""))+1)</x:f>
        <x:v>0</x:v>
      </x:c>
      <x:c r="I282" s="23" t="str"/>
      <x:c r="J282" s="23" t="str">
        <x:v>No developed-article link recorded</x:v>
      </x:c>
      <x:c r="K282" s="23" t="str">
        <x:v>Not inferred</x:v>
      </x:c>
      <x:c r="L282" s="34" t="str">
        <x:v>2df9d8e6ba8fa6eb84d876a39c7fb22f292c1e976e8fe8d7db8ac52d61963c6c</x:v>
      </x:c>
      <x:c r="M282" s="32" t="n">
        <x:v>5693</x:v>
      </x:c>
      <x:c r="N282" s="23" t="str">
        <x:v>https://v5ma.github.io/theology-wiki/san-reader.html?page=qumran-text-history</x:v>
      </x:c>
    </x:row>
    <x:row r="283" ht="56" customHeight="1">
      <x:c r="A283" s="23" t="str">
        <x:v>Quote authenticity check</x:v>
      </x:c>
      <x:c r="B283" s="23" t="str">
        <x:v>gpt2026dragon2054_Quote_authenticity_check.txt</x:v>
      </x:c>
      <x:c r="C283" s="23" t="str">
        <x:v>2025-08-07</x:v>
      </x:c>
      <x:c r="D283" s="23" t="n">
        <x:v>20</x:v>
      </x:c>
      <x:c r="E283" s="23" t="str"/>
      <x:c r="F283" s="23" t="n">
        <x:f>IF(E283="",0,LEN(E283)-LEN(SUBSTITUTE(E283,CHAR(10),""))+1)</x:f>
        <x:v>0</x:v>
      </x:c>
      <x:c r="G283" s="23" t="str"/>
      <x:c r="H283" s="23" t="n">
        <x:f>IF(G283="",0,LEN(G283&amp;"")-LEN(SUBSTITUTE(G283&amp;"",CHAR(10),""))+1)</x:f>
        <x:v>0</x:v>
      </x:c>
      <x:c r="I283" s="23" t="str"/>
      <x:c r="J283" s="23" t="str">
        <x:v>No developed-article link recorded</x:v>
      </x:c>
      <x:c r="K283" s="23" t="str">
        <x:v>Not inferred</x:v>
      </x:c>
      <x:c r="L283" s="34" t="str">
        <x:v>ca55a7f2ea72aa8391f8eebdb68bac43f6ffc79c60b5ade911ee95b16e902517</x:v>
      </x:c>
      <x:c r="M283" s="32" t="n">
        <x:v>38468</x:v>
      </x:c>
      <x:c r="N283" s="23" t="str">
        <x:v>https://v5ma.github.io/theology-wiki/san-reader.html?page=quote-authenticity-check</x:v>
      </x:c>
    </x:row>
    <x:row r="284" ht="56" customHeight="1">
      <x:c r="A284" s="23" t="str">
        <x:v>RATM and Gnosticism Comparison</x:v>
      </x:c>
      <x:c r="B284" s="23" t="str">
        <x:v>gpt2026dragon857_RATM_and_Gnosticism_Comparison.txt</x:v>
      </x:c>
      <x:c r="C284" s="23" t="str">
        <x:v>2025-02-04</x:v>
      </x:c>
      <x:c r="D284" s="23" t="n">
        <x:v>2</x:v>
      </x:c>
      <x:c r="E284" s="23" t="str"/>
      <x:c r="F284" s="23" t="n">
        <x:f>IF(E284="",0,LEN(E284)-LEN(SUBSTITUTE(E284,CHAR(10),""))+1)</x:f>
        <x:v>0</x:v>
      </x:c>
      <x:c r="G284" s="23" t="str"/>
      <x:c r="H284" s="23" t="n">
        <x:f>IF(G284="",0,LEN(G284&amp;"")-LEN(SUBSTITUTE(G284&amp;"",CHAR(10),""))+1)</x:f>
        <x:v>0</x:v>
      </x:c>
      <x:c r="I284" s="23" t="str"/>
      <x:c r="J284" s="23" t="str">
        <x:v>No developed-article link recorded</x:v>
      </x:c>
      <x:c r="K284" s="23" t="str">
        <x:v>Not inferred</x:v>
      </x:c>
      <x:c r="L284" s="34" t="str">
        <x:v>8b5d0aaf03ccac95490035c49aa45971e0d7c18742a90a2c48ced511e299bbaa</x:v>
      </x:c>
      <x:c r="M284" s="32" t="n">
        <x:v>3039</x:v>
      </x:c>
      <x:c r="N284" s="23" t="str">
        <x:v>https://v5ma.github.io/theology-wiki/san-reader.html?page=ratm-and-gnosticism-comparison</x:v>
      </x:c>
    </x:row>
    <x:row r="285" ht="56" customHeight="1">
      <x:c r="A285" s="23" t="str">
        <x:v>Reddit Group Search</x:v>
      </x:c>
      <x:c r="B285" s="23" t="str">
        <x:v>gpt2026dragon1218_Reddit_Group_Search.txt</x:v>
      </x:c>
      <x:c r="C285" s="23" t="str">
        <x:v>2025-03-26</x:v>
      </x:c>
      <x:c r="D285" s="23" t="n">
        <x:v>14</x:v>
      </x:c>
      <x:c r="E285" s="23" t="str"/>
      <x:c r="F285" s="23" t="n">
        <x:f>IF(E285="",0,LEN(E285)-LEN(SUBSTITUTE(E285,CHAR(10),""))+1)</x:f>
        <x:v>0</x:v>
      </x:c>
      <x:c r="G285" s="23" t="str"/>
      <x:c r="H285" s="23" t="n">
        <x:f>IF(G285="",0,LEN(G285&amp;"")-LEN(SUBSTITUTE(G285&amp;"",CHAR(10),""))+1)</x:f>
        <x:v>0</x:v>
      </x:c>
      <x:c r="I285" s="23" t="str"/>
      <x:c r="J285" s="23" t="str">
        <x:v>No developed-article link recorded</x:v>
      </x:c>
      <x:c r="K285" s="23" t="str">
        <x:v>Not inferred</x:v>
      </x:c>
      <x:c r="L285" s="34" t="str">
        <x:v>ed21d66c278648b9ea440af28d52af671875981807d294b13df3b5ca9b0eac28</x:v>
      </x:c>
      <x:c r="M285" s="32" t="n">
        <x:v>104855</x:v>
      </x:c>
      <x:c r="N285" s="23" t="str">
        <x:v>https://v5ma.github.io/theology-wiki/san-reader.html?page=reddit-group-search</x:v>
      </x:c>
    </x:row>
    <x:row r="286" ht="56" customHeight="1">
      <x:c r="A286" s="23" t="str">
        <x:v>Rephrase conjecture on genocide</x:v>
      </x:c>
      <x:c r="B286" s="23" t="str">
        <x:v>gpt2026dragon2755_Rephrase_conjecture_on_genocide.txt</x:v>
      </x:c>
      <x:c r="C286" s="23" t="str">
        <x:v>2025-11-11</x:v>
      </x:c>
      <x:c r="D286" s="23" t="n">
        <x:v>2</x:v>
      </x:c>
      <x:c r="E286" s="23" t="str"/>
      <x:c r="F286" s="23" t="n">
        <x:f>IF(E286="",0,LEN(E286)-LEN(SUBSTITUTE(E286,CHAR(10),""))+1)</x:f>
        <x:v>0</x:v>
      </x:c>
      <x:c r="G286" s="23" t="str"/>
      <x:c r="H286" s="23" t="n">
        <x:f>IF(G286="",0,LEN(G286&amp;"")-LEN(SUBSTITUTE(G286&amp;"",CHAR(10),""))+1)</x:f>
        <x:v>0</x:v>
      </x:c>
      <x:c r="I286" s="23" t="str"/>
      <x:c r="J286" s="23" t="str">
        <x:v>No developed-article link recorded</x:v>
      </x:c>
      <x:c r="K286" s="23" t="str">
        <x:v>Not inferred</x:v>
      </x:c>
      <x:c r="L286" s="34" t="str">
        <x:v>5b703a0ac7ebce831371e7bde139134ab608000c7376be5df9179ce9771d10cc</x:v>
      </x:c>
      <x:c r="M286" s="32" t="n">
        <x:v>2577</x:v>
      </x:c>
      <x:c r="N286" s="23" t="str">
        <x:v>https://v5ma.github.io/theology-wiki/san-reader.html?page=rephrase-conjecture-on-genocide</x:v>
      </x:c>
    </x:row>
    <x:row r="287" ht="56" customHeight="1">
      <x:c r="A287" s="23" t="str">
        <x:v>Research on lineage descent</x:v>
      </x:c>
      <x:c r="B287" s="23" t="str">
        <x:v>gpt2026dragon2663_Research_on_lineage_descent.txt</x:v>
      </x:c>
      <x:c r="C287" s="23" t="str">
        <x:v>2025-10-20</x:v>
      </x:c>
      <x:c r="D287" s="23" t="n">
        <x:v>11</x:v>
      </x:c>
      <x:c r="E287" s="23" t="str"/>
      <x:c r="F287" s="23" t="n">
        <x:f>IF(E287="",0,LEN(E287)-LEN(SUBSTITUTE(E287,CHAR(10),""))+1)</x:f>
        <x:v>0</x:v>
      </x:c>
      <x:c r="G287" s="23" t="str"/>
      <x:c r="H287" s="23" t="n">
        <x:f>IF(G287="",0,LEN(G287&amp;"")-LEN(SUBSTITUTE(G287&amp;"",CHAR(10),""))+1)</x:f>
        <x:v>0</x:v>
      </x:c>
      <x:c r="I287" s="23" t="str"/>
      <x:c r="J287" s="23" t="str">
        <x:v>No developed-article link recorded</x:v>
      </x:c>
      <x:c r="K287" s="23" t="str">
        <x:v>Not inferred</x:v>
      </x:c>
      <x:c r="L287" s="34" t="str">
        <x:v>cbfafd1e5e922d99817b5b2fa67084bfff1541e07ab44e22136fb84322f22b08</x:v>
      </x:c>
      <x:c r="M287" s="32" t="n">
        <x:v>29768</x:v>
      </x:c>
      <x:c r="N287" s="23" t="str">
        <x:v>https://v5ma.github.io/theology-wiki/san-reader.html?page=research-on-lineage-descent</x:v>
      </x:c>
    </x:row>
    <x:row r="288" ht="56" customHeight="1">
      <x:c r="A288" s="23" t="str">
        <x:v>Resurrection Debate in Christianity</x:v>
      </x:c>
      <x:c r="B288" s="23" t="str">
        <x:v>gpt2026dragon1642_Resurrection_Debate_in_Christianity.txt</x:v>
      </x:c>
      <x:c r="C288" s="23" t="str">
        <x:v>2025-06-08</x:v>
      </x:c>
      <x:c r="D288" s="23" t="n">
        <x:v>14</x:v>
      </x:c>
      <x:c r="E288" s="23" t="str">
        <x:v>divine-will-and-self-authorizing-power</x:v>
      </x:c>
      <x:c r="F288" s="23" t="n">
        <x:f>IF(E288="",0,LEN(E288)-LEN(SUBSTITUTE(E288,CHAR(10),""))+1)</x:f>
        <x:v>1</x:v>
      </x:c>
      <x:c r="G288" s="23" t="str">
        <x:v>Turn 9
Turn 11</x:v>
      </x:c>
      <x:c r="H288" s="23" t="n">
        <x:f>IF(G288="",0,LEN(G288&amp;"")-LEN(SUBSTITUTE(G288&amp;"",CHAR(10),""))+1)</x:f>
        <x:v>2</x:v>
      </x:c>
      <x:c r="I288" s="23" t="str">
        <x:v>inner-model
will</x:v>
      </x:c>
      <x:c r="J288" s="23" t="str">
        <x:v>Linked to developed article</x:v>
      </x:c>
      <x:c r="K288" s="23" t="str">
        <x:v>Not inferred</x:v>
      </x:c>
      <x:c r="L288" s="34" t="str">
        <x:v>8f7f2eb14acb47e0854ad8eab4ac977431164e1f6cce29e9c7784c4b57f5995d</x:v>
      </x:c>
      <x:c r="M288" s="32" t="n">
        <x:v>36754</x:v>
      </x:c>
      <x:c r="N288" s="23" t="str">
        <x:v>https://v5ma.github.io/theology-wiki/san-reader.html?page=resurrection-debate-in-christianity</x:v>
      </x:c>
    </x:row>
    <x:row r="289" ht="56" customHeight="1">
      <x:c r="A289" s="23" t="str">
        <x:v>Revelation 6:7 meaning</x:v>
      </x:c>
      <x:c r="B289" s="23" t="str">
        <x:v>gpt2026dragon2668_Revelation_6_7_meaning.txt</x:v>
      </x:c>
      <x:c r="C289" s="23" t="str">
        <x:v>2025-10-21</x:v>
      </x:c>
      <x:c r="D289" s="23" t="n">
        <x:v>14</x:v>
      </x:c>
      <x:c r="E289" s="23" t="str"/>
      <x:c r="F289" s="23" t="n">
        <x:f>IF(E289="",0,LEN(E289)-LEN(SUBSTITUTE(E289,CHAR(10),""))+1)</x:f>
        <x:v>0</x:v>
      </x:c>
      <x:c r="G289" s="23" t="str"/>
      <x:c r="H289" s="23" t="n">
        <x:f>IF(G289="",0,LEN(G289&amp;"")-LEN(SUBSTITUTE(G289&amp;"",CHAR(10),""))+1)</x:f>
        <x:v>0</x:v>
      </x:c>
      <x:c r="I289" s="23" t="str"/>
      <x:c r="J289" s="23" t="str">
        <x:v>No developed-article link recorded</x:v>
      </x:c>
      <x:c r="K289" s="23" t="str">
        <x:v>Not inferred</x:v>
      </x:c>
      <x:c r="L289" s="34" t="str">
        <x:v>e3c49809d922547f5e699d9679c224070a2af79f9fc5506d573391ba798f45af</x:v>
      </x:c>
      <x:c r="M289" s="32" t="n">
        <x:v>18618</x:v>
      </x:c>
      <x:c r="N289" s="23" t="str">
        <x:v>https://v5ma.github.io/theology-wiki/san-reader.html?page=revelation-6-7-meaning</x:v>
      </x:c>
    </x:row>
    <x:row r="290" ht="56" customHeight="1">
      <x:c r="A290" s="23" t="str">
        <x:v>Revelation and Montanism</x:v>
      </x:c>
      <x:c r="B290" s="23" t="str">
        <x:v>gpt2026dragon605_Revelation_and_Montanism.txt</x:v>
      </x:c>
      <x:c r="C290" s="23" t="str">
        <x:v>2024-12-31</x:v>
      </x:c>
      <x:c r="D290" s="23" t="n">
        <x:v>1</x:v>
      </x:c>
      <x:c r="E290" s="23" t="str"/>
      <x:c r="F290" s="23" t="n">
        <x:f>IF(E290="",0,LEN(E290)-LEN(SUBSTITUTE(E290,CHAR(10),""))+1)</x:f>
        <x:v>0</x:v>
      </x:c>
      <x:c r="G290" s="23" t="str"/>
      <x:c r="H290" s="23" t="n">
        <x:f>IF(G290="",0,LEN(G290&amp;"")-LEN(SUBSTITUTE(G290&amp;"",CHAR(10),""))+1)</x:f>
        <x:v>0</x:v>
      </x:c>
      <x:c r="I290" s="23" t="str"/>
      <x:c r="J290" s="23" t="str">
        <x:v>No developed-article link recorded</x:v>
      </x:c>
      <x:c r="K290" s="23" t="str">
        <x:v>Not inferred</x:v>
      </x:c>
      <x:c r="L290" s="34" t="str">
        <x:v>c4ad6f813a35025aebaa2569f7960763fbafc7ce0430a666af6dd8f0a4f3b82b</x:v>
      </x:c>
      <x:c r="M290" s="32" t="n">
        <x:v>6416</x:v>
      </x:c>
      <x:c r="N290" s="23" t="str">
        <x:v>https://v5ma.github.io/theology-wiki/san-reader.html?page=revelation-and-montanism</x:v>
      </x:c>
    </x:row>
    <x:row r="291" ht="56" customHeight="1">
      <x:c r="A291" s="23" t="str">
        <x:v>Revelation and Symbolic Language</x:v>
      </x:c>
      <x:c r="B291" s="23" t="str">
        <x:v>gpt2026dragon1110_Revelation_and_Symbolic_Language.txt</x:v>
      </x:c>
      <x:c r="C291" s="23" t="str">
        <x:v>2025-03-18</x:v>
      </x:c>
      <x:c r="D291" s="23" t="n">
        <x:v>26</x:v>
      </x:c>
      <x:c r="E291" s="23" t="str"/>
      <x:c r="F291" s="23" t="n">
        <x:f>IF(E291="",0,LEN(E291)-LEN(SUBSTITUTE(E291,CHAR(10),""))+1)</x:f>
        <x:v>0</x:v>
      </x:c>
      <x:c r="G291" s="23" t="str"/>
      <x:c r="H291" s="23" t="n">
        <x:f>IF(G291="",0,LEN(G291&amp;"")-LEN(SUBSTITUTE(G291&amp;"",CHAR(10),""))+1)</x:f>
        <x:v>0</x:v>
      </x:c>
      <x:c r="I291" s="23" t="str"/>
      <x:c r="J291" s="23" t="str">
        <x:v>No developed-article link recorded</x:v>
      </x:c>
      <x:c r="K291" s="23" t="str">
        <x:v>Not inferred</x:v>
      </x:c>
      <x:c r="L291" s="34" t="str">
        <x:v>de5996325db8bed8d2fd149a4133829ddbbae1455069d62f00b68d5722e2c643</x:v>
      </x:c>
      <x:c r="M291" s="32" t="n">
        <x:v>75933</x:v>
      </x:c>
      <x:c r="N291" s="23" t="str">
        <x:v>https://v5ma.github.io/theology-wiki/san-reader.html?page=revelation-and-symbolic-language</x:v>
      </x:c>
    </x:row>
    <x:row r="292" ht="56" customHeight="1">
      <x:c r="A292" s="23" t="str">
        <x:v>Revelation Interpretation and America</x:v>
      </x:c>
      <x:c r="B292" s="23" t="str">
        <x:v>gpt2026dragon3051_Revelation_Interpretation_and_America.txt</x:v>
      </x:c>
      <x:c r="C292" s="23" t="str">
        <x:v>2026-01-30</x:v>
      </x:c>
      <x:c r="D292" s="23" t="n">
        <x:v>49</x:v>
      </x:c>
      <x:c r="E292" s="23" t="str">
        <x:v>trump-first-beast-of-revelation
ukraine-russia-forecast-record</x:v>
      </x:c>
      <x:c r="F292" s="23" t="n">
        <x:f>IF(E292="",0,LEN(E292)-LEN(SUBSTITUTE(E292,CHAR(10),""))+1)</x:f>
        <x:v>2</x:v>
      </x:c>
      <x:c r="G292" s="23" t="str"/>
      <x:c r="H292" s="23" t="n">
        <x:f>IF(G292="",0,LEN(G292&amp;"")-LEN(SUBSTITUTE(G292&amp;"",CHAR(10),""))+1)</x:f>
        <x:v>0</x:v>
      </x:c>
      <x:c r="I292" s="23" t="str">
        <x:v>beast
warnings</x:v>
      </x:c>
      <x:c r="J292" s="23" t="str">
        <x:v>Linked to developed article</x:v>
      </x:c>
      <x:c r="K292" s="23" t="str">
        <x:v>Not inferred</x:v>
      </x:c>
      <x:c r="L292" s="34" t="str">
        <x:v>af431f5f3019577b92311c103ec7bae76b1f5fb79b32a504808c9c1b06f43140</x:v>
      </x:c>
      <x:c r="M292" s="32" t="n">
        <x:v>379666</x:v>
      </x:c>
      <x:c r="N292" s="23" t="str">
        <x:v>https://v5ma.github.io/theology-wiki/san-reader.html?page=revelation-interpretation-and-america</x:v>
      </x:c>
    </x:row>
    <x:row r="293" ht="56" customHeight="1">
      <x:c r="A293" s="23" t="str">
        <x:v>Revelation Seal Opening Clarification</x:v>
      </x:c>
      <x:c r="B293" s="23" t="str">
        <x:v>gpt2026dragon1602_Revelation_Seal_Opening_Clarification.txt</x:v>
      </x:c>
      <x:c r="C293" s="23" t="str">
        <x:v>2025-06-01</x:v>
      </x:c>
      <x:c r="D293" s="23" t="n">
        <x:v>12</x:v>
      </x:c>
      <x:c r="E293" s="23" t="str"/>
      <x:c r="F293" s="23" t="n">
        <x:f>IF(E293="",0,LEN(E293)-LEN(SUBSTITUTE(E293,CHAR(10),""))+1)</x:f>
        <x:v>0</x:v>
      </x:c>
      <x:c r="G293" s="23" t="str"/>
      <x:c r="H293" s="23" t="n">
        <x:f>IF(G293="",0,LEN(G293&amp;"")-LEN(SUBSTITUTE(G293&amp;"",CHAR(10),""))+1)</x:f>
        <x:v>0</x:v>
      </x:c>
      <x:c r="I293" s="23" t="str"/>
      <x:c r="J293" s="23" t="str">
        <x:v>No developed-article link recorded</x:v>
      </x:c>
      <x:c r="K293" s="23" t="str">
        <x:v>Not inferred</x:v>
      </x:c>
      <x:c r="L293" s="34" t="str">
        <x:v>c599a688d325be0d7d2e9ff2c6564fc3ec931e3cfabdf9e9065b172def638917</x:v>
      </x:c>
      <x:c r="M293" s="32" t="n">
        <x:v>11216</x:v>
      </x:c>
      <x:c r="N293" s="23" t="str">
        <x:v>https://v5ma.github.io/theology-wiki/san-reader.html?page=revelation-seal-opening-clarification</x:v>
      </x:c>
    </x:row>
    <x:row r="294" ht="56" customHeight="1">
      <x:c r="A294" s="23" t="str">
        <x:v>Revelation Throne Inquiry</x:v>
      </x:c>
      <x:c r="B294" s="23" t="str">
        <x:v>gpt2026dragon1580_Revelation_Throne_Inquiry.txt</x:v>
      </x:c>
      <x:c r="C294" s="23" t="str">
        <x:v>2025-05-28</x:v>
      </x:c>
      <x:c r="D294" s="23" t="n">
        <x:v>6</x:v>
      </x:c>
      <x:c r="E294" s="23" t="str"/>
      <x:c r="F294" s="23" t="n">
        <x:f>IF(E294="",0,LEN(E294)-LEN(SUBSTITUTE(E294,CHAR(10),""))+1)</x:f>
        <x:v>0</x:v>
      </x:c>
      <x:c r="G294" s="23" t="str"/>
      <x:c r="H294" s="23" t="n">
        <x:f>IF(G294="",0,LEN(G294&amp;"")-LEN(SUBSTITUTE(G294&amp;"",CHAR(10),""))+1)</x:f>
        <x:v>0</x:v>
      </x:c>
      <x:c r="I294" s="23" t="str"/>
      <x:c r="J294" s="23" t="str">
        <x:v>No developed-article link recorded</x:v>
      </x:c>
      <x:c r="K294" s="23" t="str">
        <x:v>Not inferred</x:v>
      </x:c>
      <x:c r="L294" s="34" t="str">
        <x:v>7ca3cc439cbc6ae123717bac31a225a0957c2a3e78766dc1d793e541effe4076</x:v>
      </x:c>
      <x:c r="M294" s="32" t="n">
        <x:v>6294</x:v>
      </x:c>
      <x:c r="N294" s="23" t="str">
        <x:v>https://v5ma.github.io/theology-wiki/san-reader.html?page=revelation-throne-inquiry</x:v>
      </x:c>
    </x:row>
    <x:row r="295" ht="56" customHeight="1">
      <x:c r="A295" s="23" t="str">
        <x:v>Roy Casagranda Critique</x:v>
      </x:c>
      <x:c r="B295" s="23" t="str">
        <x:v>gpt2026dragon587_Roy_Casagranda_Critique.txt</x:v>
      </x:c>
      <x:c r="C295" s="23" t="str">
        <x:v>2024-12-29</x:v>
      </x:c>
      <x:c r="D295" s="23" t="n">
        <x:v>21</x:v>
      </x:c>
      <x:c r="E295" s="23" t="str"/>
      <x:c r="F295" s="23" t="n">
        <x:f>IF(E295="",0,LEN(E295)-LEN(SUBSTITUTE(E295,CHAR(10),""))+1)</x:f>
        <x:v>0</x:v>
      </x:c>
      <x:c r="G295" s="23" t="str"/>
      <x:c r="H295" s="23" t="n">
        <x:f>IF(G295="",0,LEN(G295&amp;"")-LEN(SUBSTITUTE(G295&amp;"",CHAR(10),""))+1)</x:f>
        <x:v>0</x:v>
      </x:c>
      <x:c r="I295" s="23" t="str"/>
      <x:c r="J295" s="23" t="str">
        <x:v>No developed-article link recorded</x:v>
      </x:c>
      <x:c r="K295" s="23" t="str">
        <x:v>Not inferred</x:v>
      </x:c>
      <x:c r="L295" s="34" t="str">
        <x:v>887f766540303365bac7b4dd5442654a43905e9cbd31ec2df9c423129642a244</x:v>
      </x:c>
      <x:c r="M295" s="32" t="n">
        <x:v>53173</x:v>
      </x:c>
      <x:c r="N295" s="23" t="str">
        <x:v>https://v5ma.github.io/theology-wiki/san-reader.html?page=roy-casagranda-critique</x:v>
      </x:c>
    </x:row>
    <x:row r="296" ht="56" customHeight="1">
      <x:c r="A296" s="23" t="str">
        <x:v>Russian aliyah impact</x:v>
      </x:c>
      <x:c r="B296" s="23" t="str">
        <x:v>gpt2026dragon2805_Russian_aliyah_impact.txt</x:v>
      </x:c>
      <x:c r="C296" s="23" t="str">
        <x:v>2025-11-25</x:v>
      </x:c>
      <x:c r="D296" s="23" t="n">
        <x:v>3</x:v>
      </x:c>
      <x:c r="E296" s="23" t="str"/>
      <x:c r="F296" s="23" t="n">
        <x:f>IF(E296="",0,LEN(E296)-LEN(SUBSTITUTE(E296,CHAR(10),""))+1)</x:f>
        <x:v>0</x:v>
      </x:c>
      <x:c r="G296" s="23" t="str"/>
      <x:c r="H296" s="23" t="n">
        <x:f>IF(G296="",0,LEN(G296&amp;"")-LEN(SUBSTITUTE(G296&amp;"",CHAR(10),""))+1)</x:f>
        <x:v>0</x:v>
      </x:c>
      <x:c r="I296" s="23" t="str"/>
      <x:c r="J296" s="23" t="str">
        <x:v>No developed-article link recorded</x:v>
      </x:c>
      <x:c r="K296" s="23" t="str">
        <x:v>Not inferred</x:v>
      </x:c>
      <x:c r="L296" s="34" t="str">
        <x:v>c59501ae0b9c1dfbff5c0dd8184f5db8f2edd9334b4332b874b6e3975713ae10</x:v>
      </x:c>
      <x:c r="M296" s="32" t="n">
        <x:v>20569</x:v>
      </x:c>
      <x:c r="N296" s="23" t="str">
        <x:v>https://v5ma.github.io/theology-wiki/san-reader.html?page=russian-aliyah-impact</x:v>
      </x:c>
    </x:row>
    <x:row r="297" ht="56" customHeight="1">
      <x:c r="A297" s="23" t="str">
        <x:v>Saints and US Democrats</x:v>
      </x:c>
      <x:c r="B297" s="23" t="str">
        <x:v>gpt2026dragon2675_Saints_and_US_Democrats.txt</x:v>
      </x:c>
      <x:c r="C297" s="23" t="str">
        <x:v>2025-10-23</x:v>
      </x:c>
      <x:c r="D297" s="23" t="n">
        <x:v>5</x:v>
      </x:c>
      <x:c r="E297" s="23" t="str"/>
      <x:c r="F297" s="23" t="n">
        <x:f>IF(E297="",0,LEN(E297)-LEN(SUBSTITUTE(E297,CHAR(10),""))+1)</x:f>
        <x:v>0</x:v>
      </x:c>
      <x:c r="G297" s="23" t="str"/>
      <x:c r="H297" s="23" t="n">
        <x:f>IF(G297="",0,LEN(G297&amp;"")-LEN(SUBSTITUTE(G297&amp;"",CHAR(10),""))+1)</x:f>
        <x:v>0</x:v>
      </x:c>
      <x:c r="I297" s="23" t="str"/>
      <x:c r="J297" s="23" t="str">
        <x:v>No developed-article link recorded</x:v>
      </x:c>
      <x:c r="K297" s="23" t="str">
        <x:v>Not inferred</x:v>
      </x:c>
      <x:c r="L297" s="34" t="str">
        <x:v>725e3f32ad0bbe98e23b1578cdbf2da1b1ee9a648605e686ada311e45f3c09cf</x:v>
      </x:c>
      <x:c r="M297" s="32" t="n">
        <x:v>4946</x:v>
      </x:c>
      <x:c r="N297" s="23" t="str">
        <x:v>https://v5ma.github.io/theology-wiki/san-reader.html?page=saints-and-us-democrats</x:v>
      </x:c>
    </x:row>
    <x:row r="298" ht="56" customHeight="1">
      <x:c r="A298" s="23" t="str">
        <x:v>Samaritan and Jewish Texts</x:v>
      </x:c>
      <x:c r="B298" s="23" t="str">
        <x:v>gpt2026dragon3056_Samaritan_and_Jewish_Texts.txt</x:v>
      </x:c>
      <x:c r="C298" s="23" t="str">
        <x:v>2026-01-31</x:v>
      </x:c>
      <x:c r="D298" s="23" t="n">
        <x:v>6</x:v>
      </x:c>
      <x:c r="E298" s="23" t="str">
        <x:v>samaritan-texts-and-sacred-authority</x:v>
      </x:c>
      <x:c r="F298" s="23" t="n">
        <x:f>IF(E298="",0,LEN(E298)-LEN(SUBSTITUTE(E298,CHAR(10),""))+1)</x:f>
        <x:v>1</x:v>
      </x:c>
      <x:c r="G298" s="23" t="str"/>
      <x:c r="H298" s="23" t="n">
        <x:f>IF(G298="",0,LEN(G298&amp;"")-LEN(SUBSTITUTE(G298&amp;"",CHAR(10),""))+1)</x:f>
        <x:v>0</x:v>
      </x:c>
      <x:c r="I298" s="23" t="str">
        <x:v>shared-archive</x:v>
      </x:c>
      <x:c r="J298" s="23" t="str">
        <x:v>Linked to developed article</x:v>
      </x:c>
      <x:c r="K298" s="23" t="str">
        <x:v>Not inferred</x:v>
      </x:c>
      <x:c r="L298" s="34" t="str">
        <x:v>3f16b6a04f2488a9cc446a1585f63f8d9c32cbaee6cab3db80dab25e3b458373</x:v>
      </x:c>
      <x:c r="M298" s="32" t="n">
        <x:v>22466</x:v>
      </x:c>
      <x:c r="N298" s="23" t="str">
        <x:v>https://v5ma.github.io/theology-wiki/san-reader.html?page=samaritan-and-jewish-texts</x:v>
      </x:c>
    </x:row>
    <x:row r="299" ht="56" customHeight="1">
      <x:c r="A299" s="23" t="str">
        <x:v>Samuel vs Micah Divide</x:v>
      </x:c>
      <x:c r="B299" s="23" t="str">
        <x:v>gpt2026dragon1745_Samuel_vs_Micah_Divide.txt</x:v>
      </x:c>
      <x:c r="C299" s="23" t="str">
        <x:v>2025-06-23</x:v>
      </x:c>
      <x:c r="D299" s="23" t="n">
        <x:v>10</x:v>
      </x:c>
      <x:c r="E299" s="23" t="str">
        <x:v>christ-as-an-inner-model
faith-as-deliberate-joy
scripture-power-and-repair</x:v>
      </x:c>
      <x:c r="F299" s="23" t="n">
        <x:f>IF(E299="",0,LEN(E299)-LEN(SUBSTITUTE(E299,CHAR(10),""))+1)</x:f>
        <x:v>3</x:v>
      </x:c>
      <x:c r="G299" s="23" t="str">
        <x:v>Turn 5
Turn 9</x:v>
      </x:c>
      <x:c r="H299" s="23" t="n">
        <x:f>IF(G299="",0,LEN(G299&amp;"")-LEN(SUBSTITUTE(G299&amp;"",CHAR(10),""))+1)</x:f>
        <x:v>2</x:v>
      </x:c>
      <x:c r="I299" s="23" t="str">
        <x:v>inner-model
faith
scriptural-axis
repair-practice</x:v>
      </x:c>
      <x:c r="J299" s="23" t="str">
        <x:v>Linked to developed article</x:v>
      </x:c>
      <x:c r="K299" s="23" t="str">
        <x:v>Not inferred</x:v>
      </x:c>
      <x:c r="L299" s="34" t="str">
        <x:v>3162976b8f4123cbf559bf6024e22a8f5acec4d9359dc58221420ca0e560cdfb</x:v>
      </x:c>
      <x:c r="M299" s="32" t="n">
        <x:v>26433</x:v>
      </x:c>
      <x:c r="N299" s="23" t="str">
        <x:v>https://v5ma.github.io/theology-wiki/san-reader.html?page=samuel-vs-micah-divide</x:v>
      </x:c>
    </x:row>
    <x:row r="300" ht="56" customHeight="1">
      <x:c r="A300" s="23" t="str">
        <x:v>Sanchuniathon Phoenician Mythology Summary</x:v>
      </x:c>
      <x:c r="B300" s="23" t="str">
        <x:v>gpt2026dragon1103_Sanchuniathon_Phoenician_Mythology_Summa.txt</x:v>
      </x:c>
      <x:c r="C300" s="23" t="str">
        <x:v>2025-03-15</x:v>
      </x:c>
      <x:c r="D300" s="23" t="n">
        <x:v>52</x:v>
      </x:c>
      <x:c r="E300" s="23" t="str"/>
      <x:c r="F300" s="23" t="n">
        <x:f>IF(E300="",0,LEN(E300)-LEN(SUBSTITUTE(E300,CHAR(10),""))+1)</x:f>
        <x:v>0</x:v>
      </x:c>
      <x:c r="G300" s="23" t="str"/>
      <x:c r="H300" s="23" t="n">
        <x:f>IF(G300="",0,LEN(G300&amp;"")-LEN(SUBSTITUTE(G300&amp;"",CHAR(10),""))+1)</x:f>
        <x:v>0</x:v>
      </x:c>
      <x:c r="I300" s="23" t="str"/>
      <x:c r="J300" s="23" t="str">
        <x:v>No developed-article link recorded</x:v>
      </x:c>
      <x:c r="K300" s="23" t="str">
        <x:v>Not inferred</x:v>
      </x:c>
      <x:c r="L300" s="34" t="str">
        <x:v>5c05f65efa7c8bb54b9e35d674de7e3f2d26e0868deac59462e18d03362da5c1</x:v>
      </x:c>
      <x:c r="M300" s="32" t="n">
        <x:v>92306</x:v>
      </x:c>
      <x:c r="N300" s="23" t="str">
        <x:v>https://v5ma.github.io/theology-wiki/san-reader.html?page=sanchuniathon-phoenician-mythology-summary</x:v>
      </x:c>
    </x:row>
    <x:row r="301" ht="56" customHeight="1">
      <x:c r="A301" s="23" t="str">
        <x:v>Science and God Debate</x:v>
      </x:c>
      <x:c r="B301" s="23" t="str">
        <x:v>gpt2026dragon3080_Science_and_God_Debate.txt</x:v>
      </x:c>
      <x:c r="C301" s="23" t="str">
        <x:v>2026-02-11</x:v>
      </x:c>
      <x:c r="D301" s="23" t="n">
        <x:v>2</x:v>
      </x:c>
      <x:c r="E301" s="23" t="str"/>
      <x:c r="F301" s="23" t="n">
        <x:f>IF(E301="",0,LEN(E301)-LEN(SUBSTITUTE(E301,CHAR(10),""))+1)</x:f>
        <x:v>0</x:v>
      </x:c>
      <x:c r="G301" s="23" t="str"/>
      <x:c r="H301" s="23" t="n">
        <x:f>IF(G301="",0,LEN(G301&amp;"")-LEN(SUBSTITUTE(G301&amp;"",CHAR(10),""))+1)</x:f>
        <x:v>0</x:v>
      </x:c>
      <x:c r="I301" s="23" t="str"/>
      <x:c r="J301" s="23" t="str">
        <x:v>No developed-article link recorded</x:v>
      </x:c>
      <x:c r="K301" s="23" t="str">
        <x:v>Not inferred</x:v>
      </x:c>
      <x:c r="L301" s="34" t="str">
        <x:v>3bdd1ff8ad733bd53fa72edf53113fab66f737533c502e0a6ef84bb76b509cd7</x:v>
      </x:c>
      <x:c r="M301" s="32" t="n">
        <x:v>4058</x:v>
      </x:c>
      <x:c r="N301" s="23" t="str">
        <x:v>https://v5ma.github.io/theology-wiki/san-reader.html?page=science-and-god-debate</x:v>
      </x:c>
    </x:row>
    <x:row r="302" ht="56" customHeight="1">
      <x:c r="A302" s="23" t="str">
        <x:v>Science and Spirituality Synergy</x:v>
      </x:c>
      <x:c r="B302" s="23" t="str">
        <x:v>gpt2026dragon1060_Science_and_Spirituality_Synergy.txt</x:v>
      </x:c>
      <x:c r="C302" s="23" t="str">
        <x:v>2025-03-05</x:v>
      </x:c>
      <x:c r="D302" s="23" t="n">
        <x:v>1</x:v>
      </x:c>
      <x:c r="E302" s="23" t="str"/>
      <x:c r="F302" s="23" t="n">
        <x:f>IF(E302="",0,LEN(E302)-LEN(SUBSTITUTE(E302,CHAR(10),""))+1)</x:f>
        <x:v>0</x:v>
      </x:c>
      <x:c r="G302" s="23" t="str"/>
      <x:c r="H302" s="23" t="n">
        <x:f>IF(G302="",0,LEN(G302&amp;"")-LEN(SUBSTITUTE(G302&amp;"",CHAR(10),""))+1)</x:f>
        <x:v>0</x:v>
      </x:c>
      <x:c r="I302" s="23" t="str"/>
      <x:c r="J302" s="23" t="str">
        <x:v>No developed-article link recorded</x:v>
      </x:c>
      <x:c r="K302" s="23" t="str">
        <x:v>Not inferred</x:v>
      </x:c>
      <x:c r="L302" s="34" t="str">
        <x:v>62ebe59d1dd200d04dc0ead2d46bf0673318ef6e584506660ec44329d9c98142</x:v>
      </x:c>
      <x:c r="M302" s="32" t="n">
        <x:v>2335</x:v>
      </x:c>
      <x:c r="N302" s="23" t="str">
        <x:v>https://v5ma.github.io/theology-wiki/san-reader.html?page=science-and-spirituality-synergy</x:v>
      </x:c>
    </x:row>
    <x:row r="303" ht="56" customHeight="1">
      <x:c r="A303" s="23" t="str">
        <x:v>Self and existence question</x:v>
      </x:c>
      <x:c r="B303" s="23" t="str">
        <x:v>gpt2026dragon2067_Self_and_existence_question.txt</x:v>
      </x:c>
      <x:c r="C303" s="23" t="str">
        <x:v>2025-08-08</x:v>
      </x:c>
      <x:c r="D303" s="23" t="n">
        <x:v>43</x:v>
      </x:c>
      <x:c r="E303" s="23" t="str"/>
      <x:c r="F303" s="23" t="n">
        <x:f>IF(E303="",0,LEN(E303)-LEN(SUBSTITUTE(E303,CHAR(10),""))+1)</x:f>
        <x:v>0</x:v>
      </x:c>
      <x:c r="G303" s="23" t="str"/>
      <x:c r="H303" s="23" t="n">
        <x:f>IF(G303="",0,LEN(G303&amp;"")-LEN(SUBSTITUTE(G303&amp;"",CHAR(10),""))+1)</x:f>
        <x:v>0</x:v>
      </x:c>
      <x:c r="I303" s="23" t="str"/>
      <x:c r="J303" s="23" t="str">
        <x:v>No developed-article link recorded</x:v>
      </x:c>
      <x:c r="K303" s="23" t="str">
        <x:v>Not inferred</x:v>
      </x:c>
      <x:c r="L303" s="34" t="str">
        <x:v>a2d78a9a7259a9888b66982bf7e180903d4031c460aed3746395c37178ba40c3</x:v>
      </x:c>
      <x:c r="M303" s="32" t="n">
        <x:v>208577</x:v>
      </x:c>
      <x:c r="N303" s="23" t="str">
        <x:v>https://v5ma.github.io/theology-wiki/san-reader.html?page=self-and-existence-question</x:v>
      </x:c>
    </x:row>
    <x:row r="304" ht="56" customHeight="1">
      <x:c r="A304" s="23" t="str">
        <x:v>Self-declared Pope Controversy</x:v>
      </x:c>
      <x:c r="B304" s="23" t="str">
        <x:v>gpt2026dragon1737_Self-declared_Pope_Controversy.txt</x:v>
      </x:c>
      <x:c r="C304" s="23" t="str">
        <x:v>2025-06-22</x:v>
      </x:c>
      <x:c r="D304" s="23" t="n">
        <x:v>29</x:v>
      </x:c>
      <x:c r="E304" s="23" t="str"/>
      <x:c r="F304" s="23" t="n">
        <x:f>IF(E304="",0,LEN(E304)-LEN(SUBSTITUTE(E304,CHAR(10),""))+1)</x:f>
        <x:v>0</x:v>
      </x:c>
      <x:c r="G304" s="23" t="str"/>
      <x:c r="H304" s="23" t="n">
        <x:f>IF(G304="",0,LEN(G304&amp;"")-LEN(SUBSTITUTE(G304&amp;"",CHAR(10),""))+1)</x:f>
        <x:v>0</x:v>
      </x:c>
      <x:c r="I304" s="23" t="str"/>
      <x:c r="J304" s="23" t="str">
        <x:v>No developed-article link recorded</x:v>
      </x:c>
      <x:c r="K304" s="23" t="str">
        <x:v>Not inferred</x:v>
      </x:c>
      <x:c r="L304" s="34" t="str">
        <x:v>d1bea368ab9efcf99bd4f7a04a1cdb1a033e8a87c941b21c553c65fae07a83d1</x:v>
      </x:c>
      <x:c r="M304" s="32" t="n">
        <x:v>73498</x:v>
      </x:c>
      <x:c r="N304" s="23" t="str">
        <x:v>https://v5ma.github.io/theology-wiki/san-reader.html?page=self-declared-pope-controversy</x:v>
      </x:c>
    </x:row>
    <x:row r="305" ht="56" customHeight="1">
      <x:c r="A305" s="23" t="str">
        <x:v>Seth on changing past future</x:v>
      </x:c>
      <x:c r="B305" s="23" t="str">
        <x:v>gpt2026dragon2797_Seth_on_changing_past_future.txt</x:v>
      </x:c>
      <x:c r="C305" s="23" t="str">
        <x:v>2025-11-24</x:v>
      </x:c>
      <x:c r="D305" s="23" t="n">
        <x:v>17</x:v>
      </x:c>
      <x:c r="E305" s="23" t="str"/>
      <x:c r="F305" s="23" t="n">
        <x:f>IF(E305="",0,LEN(E305)-LEN(SUBSTITUTE(E305,CHAR(10),""))+1)</x:f>
        <x:v>0</x:v>
      </x:c>
      <x:c r="G305" s="23" t="str"/>
      <x:c r="H305" s="23" t="n">
        <x:f>IF(G305="",0,LEN(G305&amp;"")-LEN(SUBSTITUTE(G305&amp;"",CHAR(10),""))+1)</x:f>
        <x:v>0</x:v>
      </x:c>
      <x:c r="I305" s="23" t="str"/>
      <x:c r="J305" s="23" t="str">
        <x:v>No developed-article link recorded</x:v>
      </x:c>
      <x:c r="K305" s="23" t="str">
        <x:v>Not inferred</x:v>
      </x:c>
      <x:c r="L305" s="34" t="str">
        <x:v>72619dfee550457ae4695683280e9b876f074c6d0b51466ddcbe13909fe82cf0</x:v>
      </x:c>
      <x:c r="M305" s="32" t="n">
        <x:v>64680</x:v>
      </x:c>
      <x:c r="N305" s="23" t="str">
        <x:v>https://v5ma.github.io/theology-wiki/san-reader.html?page=seth-on-changing-past-future</x:v>
      </x:c>
    </x:row>
    <x:row r="306" ht="56" customHeight="1">
      <x:c r="A306" s="23" t="str">
        <x:v>Simon Magus and Logos</x:v>
      </x:c>
      <x:c r="B306" s="23" t="str">
        <x:v>gpt2026dragon1101_Simon_Magus_and_Logos.txt</x:v>
      </x:c>
      <x:c r="C306" s="23" t="str">
        <x:v>2025-03-14</x:v>
      </x:c>
      <x:c r="D306" s="23" t="n">
        <x:v>6</x:v>
      </x:c>
      <x:c r="E306" s="23" t="str"/>
      <x:c r="F306" s="23" t="n">
        <x:f>IF(E306="",0,LEN(E306)-LEN(SUBSTITUTE(E306,CHAR(10),""))+1)</x:f>
        <x:v>0</x:v>
      </x:c>
      <x:c r="G306" s="23" t="str"/>
      <x:c r="H306" s="23" t="n">
        <x:f>IF(G306="",0,LEN(G306&amp;"")-LEN(SUBSTITUTE(G306&amp;"",CHAR(10),""))+1)</x:f>
        <x:v>0</x:v>
      </x:c>
      <x:c r="I306" s="23" t="str"/>
      <x:c r="J306" s="23" t="str">
        <x:v>No developed-article link recorded</x:v>
      </x:c>
      <x:c r="K306" s="23" t="str">
        <x:v>Not inferred</x:v>
      </x:c>
      <x:c r="L306" s="34" t="str">
        <x:v>8faf3da1a62728ba2c420f4ead7f9e6107710ebebde1048be3a8e54cb79b71d0</x:v>
      </x:c>
      <x:c r="M306" s="32" t="n">
        <x:v>8936</x:v>
      </x:c>
      <x:c r="N306" s="23" t="str">
        <x:v>https://v5ma.github.io/theology-wiki/san-reader.html?page=simon-magus-and-logos</x:v>
      </x:c>
    </x:row>
    <x:row r="307" ht="56" customHeight="1">
      <x:c r="A307" s="23" t="str">
        <x:v>Simulation Theory Debate</x:v>
      </x:c>
      <x:c r="B307" s="23" t="str">
        <x:v>gpt2026dragon1412_Simulation_Theory_Debate.txt</x:v>
      </x:c>
      <x:c r="C307" s="23" t="str">
        <x:v>2025-04-30</x:v>
      </x:c>
      <x:c r="D307" s="23" t="n">
        <x:v>6</x:v>
      </x:c>
      <x:c r="E307" s="23" t="str"/>
      <x:c r="F307" s="23" t="n">
        <x:f>IF(E307="",0,LEN(E307)-LEN(SUBSTITUTE(E307,CHAR(10),""))+1)</x:f>
        <x:v>0</x:v>
      </x:c>
      <x:c r="G307" s="23" t="str"/>
      <x:c r="H307" s="23" t="n">
        <x:f>IF(G307="",0,LEN(G307&amp;"")-LEN(SUBSTITUTE(G307&amp;"",CHAR(10),""))+1)</x:f>
        <x:v>0</x:v>
      </x:c>
      <x:c r="I307" s="23" t="str"/>
      <x:c r="J307" s="23" t="str">
        <x:v>No developed-article link recorded</x:v>
      </x:c>
      <x:c r="K307" s="23" t="str">
        <x:v>Not inferred</x:v>
      </x:c>
      <x:c r="L307" s="34" t="str">
        <x:v>c71df2ceda1e965697ed20d6765d41d011c15c82a3547d2cd5fbd288ed3c313f</x:v>
      </x:c>
      <x:c r="M307" s="32" t="n">
        <x:v>65685</x:v>
      </x:c>
      <x:c r="N307" s="23" t="str">
        <x:v>https://v5ma.github.io/theology-wiki/san-reader.html?page=simulation-theory-debate</x:v>
      </x:c>
    </x:row>
    <x:row r="308" ht="56" customHeight="1">
      <x:c r="A308" s="23" t="str">
        <x:v>Sith Rule of Two Myth</x:v>
      </x:c>
      <x:c r="B308" s="23" t="str">
        <x:v>gpt2026dragon1527_Sith_Rule_of_Two_Myth.txt</x:v>
      </x:c>
      <x:c r="C308" s="23" t="str">
        <x:v>2025-05-19</x:v>
      </x:c>
      <x:c r="D308" s="23" t="n">
        <x:v>9</x:v>
      </x:c>
      <x:c r="E308" s="23" t="str"/>
      <x:c r="F308" s="23" t="n">
        <x:f>IF(E308="",0,LEN(E308)-LEN(SUBSTITUTE(E308,CHAR(10),""))+1)</x:f>
        <x:v>0</x:v>
      </x:c>
      <x:c r="G308" s="23" t="str"/>
      <x:c r="H308" s="23" t="n">
        <x:f>IF(G308="",0,LEN(G308&amp;"")-LEN(SUBSTITUTE(G308&amp;"",CHAR(10),""))+1)</x:f>
        <x:v>0</x:v>
      </x:c>
      <x:c r="I308" s="23" t="str"/>
      <x:c r="J308" s="23" t="str">
        <x:v>No developed-article link recorded</x:v>
      </x:c>
      <x:c r="K308" s="23" t="str">
        <x:v>Not inferred</x:v>
      </x:c>
      <x:c r="L308" s="34" t="str">
        <x:v>79a658560e5dfd85e9b3ba22608e60326dd5bdeabf77228186e6c269d848ac69</x:v>
      </x:c>
      <x:c r="M308" s="32" t="n">
        <x:v>13896</x:v>
      </x:c>
      <x:c r="N308" s="23" t="str">
        <x:v>https://v5ma.github.io/theology-wiki/san-reader.html?page=sith-rule-of-two-myth</x:v>
      </x:c>
    </x:row>
    <x:row r="309" ht="56" customHeight="1">
      <x:c r="A309" s="23" t="str">
        <x:v>Song Style Analysis</x:v>
      </x:c>
      <x:c r="B309" s="23" t="str">
        <x:v>gpt2026dragon2908_Song_Style_Analysis.txt</x:v>
      </x:c>
      <x:c r="C309" s="23" t="str">
        <x:v>2025-12-27</x:v>
      </x:c>
      <x:c r="D309" s="23" t="n">
        <x:v>4</x:v>
      </x:c>
      <x:c r="E309" s="23" t="str"/>
      <x:c r="F309" s="23" t="n">
        <x:f>IF(E309="",0,LEN(E309)-LEN(SUBSTITUTE(E309,CHAR(10),""))+1)</x:f>
        <x:v>0</x:v>
      </x:c>
      <x:c r="G309" s="23" t="str"/>
      <x:c r="H309" s="23" t="n">
        <x:f>IF(G309="",0,LEN(G309&amp;"")-LEN(SUBSTITUTE(G309&amp;"",CHAR(10),""))+1)</x:f>
        <x:v>0</x:v>
      </x:c>
      <x:c r="I309" s="23" t="str"/>
      <x:c r="J309" s="23" t="str">
        <x:v>No developed-article link recorded</x:v>
      </x:c>
      <x:c r="K309" s="23" t="str">
        <x:v>Not inferred</x:v>
      </x:c>
      <x:c r="L309" s="34" t="str">
        <x:v>4ef5fabee9afcf972ef24975026242bce11cc07b5693802465287b6918b3ca32</x:v>
      </x:c>
      <x:c r="M309" s="32" t="n">
        <x:v>5743</x:v>
      </x:c>
      <x:c r="N309" s="23" t="str">
        <x:v>https://v5ma.github.io/theology-wiki/san-reader.html?page=song-style-analysis</x:v>
      </x:c>
    </x:row>
    <x:row r="310" ht="56" customHeight="1">
      <x:c r="A310" s="23" t="str">
        <x:v>Spiritual experience integration</x:v>
      </x:c>
      <x:c r="B310" s="23" t="str">
        <x:v>gpt2026dragon2688_Spiritual_experience_integration.txt</x:v>
      </x:c>
      <x:c r="C310" s="23" t="str">
        <x:v>2025-10-26</x:v>
      </x:c>
      <x:c r="D310" s="23" t="n">
        <x:v>15</x:v>
      </x:c>
      <x:c r="E310" s="23" t="str"/>
      <x:c r="F310" s="23" t="n">
        <x:f>IF(E310="",0,LEN(E310)-LEN(SUBSTITUTE(E310,CHAR(10),""))+1)</x:f>
        <x:v>0</x:v>
      </x:c>
      <x:c r="G310" s="23" t="str"/>
      <x:c r="H310" s="23" t="n">
        <x:f>IF(G310="",0,LEN(G310&amp;"")-LEN(SUBSTITUTE(G310&amp;"",CHAR(10),""))+1)</x:f>
        <x:v>0</x:v>
      </x:c>
      <x:c r="I310" s="23" t="str"/>
      <x:c r="J310" s="23" t="str">
        <x:v>No developed-article link recorded</x:v>
      </x:c>
      <x:c r="K310" s="23" t="str">
        <x:v>Not inferred</x:v>
      </x:c>
      <x:c r="L310" s="34" t="str">
        <x:v>e1c522c1ef924a65f6e041d0140cdc17dc5e1493f59811f56e67c82c64668279</x:v>
      </x:c>
      <x:c r="M310" s="32" t="n">
        <x:v>34943</x:v>
      </x:c>
      <x:c r="N310" s="23" t="str">
        <x:v>https://v5ma.github.io/theology-wiki/san-reader.html?page=spiritual-experience-integration</x:v>
      </x:c>
    </x:row>
    <x:row r="311" ht="56" customHeight="1">
      <x:c r="A311" s="23" t="str">
        <x:v>Squid Imagery and Propaganda</x:v>
      </x:c>
      <x:c r="B311" s="23" t="str">
        <x:v>gpt2026dragon3208_Squid_Imagery_and_Propaganda.txt</x:v>
      </x:c>
      <x:c r="C311" s="23" t="str">
        <x:v>2026-03-29</x:v>
      </x:c>
      <x:c r="D311" s="23" t="n">
        <x:v>10</x:v>
      </x:c>
      <x:c r="E311" s="23" t="str"/>
      <x:c r="F311" s="23" t="n">
        <x:f>IF(E311="",0,LEN(E311)-LEN(SUBSTITUTE(E311,CHAR(10),""))+1)</x:f>
        <x:v>0</x:v>
      </x:c>
      <x:c r="G311" s="23" t="str"/>
      <x:c r="H311" s="23" t="n">
        <x:f>IF(G311="",0,LEN(G311&amp;"")-LEN(SUBSTITUTE(G311&amp;"",CHAR(10),""))+1)</x:f>
        <x:v>0</x:v>
      </x:c>
      <x:c r="I311" s="23" t="str"/>
      <x:c r="J311" s="23" t="str">
        <x:v>No developed-article link recorded</x:v>
      </x:c>
      <x:c r="K311" s="23" t="str">
        <x:v>Not inferred</x:v>
      </x:c>
      <x:c r="L311" s="34" t="str">
        <x:v>e5f9ea250be82148b761283201d8bcbb4b6c69001b74f1224029345acfcd14ed</x:v>
      </x:c>
      <x:c r="M311" s="32" t="n">
        <x:v>12428</x:v>
      </x:c>
      <x:c r="N311" s="23" t="str">
        <x:v>https://v5ma.github.io/theology-wiki/san-reader.html?page=squid-imagery-and-propaganda</x:v>
      </x:c>
    </x:row>
    <x:row r="312" ht="56" customHeight="1">
      <x:c r="A312" s="23" t="str">
        <x:v>Stages of Awakening</x:v>
      </x:c>
      <x:c r="B312" s="23" t="str">
        <x:v>gpt2026dragon1516_Stages_of_Awakening.txt</x:v>
      </x:c>
      <x:c r="C312" s="23" t="str">
        <x:v>2025-05-18</x:v>
      </x:c>
      <x:c r="D312" s="23" t="n">
        <x:v>4</x:v>
      </x:c>
      <x:c r="E312" s="23" t="str"/>
      <x:c r="F312" s="23" t="n">
        <x:f>IF(E312="",0,LEN(E312)-LEN(SUBSTITUTE(E312,CHAR(10),""))+1)</x:f>
        <x:v>0</x:v>
      </x:c>
      <x:c r="G312" s="23" t="str"/>
      <x:c r="H312" s="23" t="n">
        <x:f>IF(G312="",0,LEN(G312&amp;"")-LEN(SUBSTITUTE(G312&amp;"",CHAR(10),""))+1)</x:f>
        <x:v>0</x:v>
      </x:c>
      <x:c r="I312" s="23" t="str"/>
      <x:c r="J312" s="23" t="str">
        <x:v>No developed-article link recorded</x:v>
      </x:c>
      <x:c r="K312" s="23" t="str">
        <x:v>Not inferred</x:v>
      </x:c>
      <x:c r="L312" s="34" t="str">
        <x:v>2dfdab145151de6831a60074ba1710fd896f25f1f2e134de5c9f460e10617cd7</x:v>
      </x:c>
      <x:c r="M312" s="32" t="n">
        <x:v>5497</x:v>
      </x:c>
      <x:c r="N312" s="23" t="str">
        <x:v>https://v5ma.github.io/theology-wiki/san-reader.html?page=stages-of-awakening</x:v>
      </x:c>
    </x:row>
    <x:row r="313" ht="56" customHeight="1">
      <x:c r="A313" s="23" t="str">
        <x:v>Stalin Putin Anti-Christ Parallel</x:v>
      </x:c>
      <x:c r="B313" s="23" t="str">
        <x:v>gpt2026dragon1059_Stalin_Putin_Anti-Christ_Parallel.txt</x:v>
      </x:c>
      <x:c r="C313" s="23" t="str">
        <x:v>2025-03-05</x:v>
      </x:c>
      <x:c r="D313" s="23" t="n">
        <x:v>8</x:v>
      </x:c>
      <x:c r="E313" s="23" t="str"/>
      <x:c r="F313" s="23" t="n">
        <x:f>IF(E313="",0,LEN(E313)-LEN(SUBSTITUTE(E313,CHAR(10),""))+1)</x:f>
        <x:v>0</x:v>
      </x:c>
      <x:c r="G313" s="23" t="str"/>
      <x:c r="H313" s="23" t="n">
        <x:f>IF(G313="",0,LEN(G313&amp;"")-LEN(SUBSTITUTE(G313&amp;"",CHAR(10),""))+1)</x:f>
        <x:v>0</x:v>
      </x:c>
      <x:c r="I313" s="23" t="str"/>
      <x:c r="J313" s="23" t="str">
        <x:v>No developed-article link recorded</x:v>
      </x:c>
      <x:c r="K313" s="23" t="str">
        <x:v>Not inferred</x:v>
      </x:c>
      <x:c r="L313" s="34" t="str">
        <x:v>f06a5667a2e5edd92bf065a534c6cc3598a780d3e43bee55ce1d3b6395ae821e</x:v>
      </x:c>
      <x:c r="M313" s="32" t="n">
        <x:v>6804</x:v>
      </x:c>
      <x:c r="N313" s="23" t="str">
        <x:v>https://v5ma.github.io/theology-wiki/san-reader.html?page=stalin-putin-anti-christ-parallel</x:v>
      </x:c>
    </x:row>
    <x:row r="314" ht="56" customHeight="1">
      <x:c r="A314" s="23" t="str">
        <x:v>Stanley Fisher clarification</x:v>
      </x:c>
      <x:c r="B314" s="23" t="str">
        <x:v>gpt2026dragon2393_Stanley_Fisher_clarification.txt</x:v>
      </x:c>
      <x:c r="C314" s="23" t="str">
        <x:v>2025-09-13</x:v>
      </x:c>
      <x:c r="D314" s="23" t="n">
        <x:v>6</x:v>
      </x:c>
      <x:c r="E314" s="23" t="str"/>
      <x:c r="F314" s="23" t="n">
        <x:f>IF(E314="",0,LEN(E314)-LEN(SUBSTITUTE(E314,CHAR(10),""))+1)</x:f>
        <x:v>0</x:v>
      </x:c>
      <x:c r="G314" s="23" t="str"/>
      <x:c r="H314" s="23" t="n">
        <x:f>IF(G314="",0,LEN(G314&amp;"")-LEN(SUBSTITUTE(G314&amp;"",CHAR(10),""))+1)</x:f>
        <x:v>0</x:v>
      </x:c>
      <x:c r="I314" s="23" t="str"/>
      <x:c r="J314" s="23" t="str">
        <x:v>No developed-article link recorded</x:v>
      </x:c>
      <x:c r="K314" s="23" t="str">
        <x:v>Not inferred</x:v>
      </x:c>
      <x:c r="L314" s="34" t="str">
        <x:v>37059563d2c0a9f350e27974e92cc33ce6850741af31c32ae456b855899ebc90</x:v>
      </x:c>
      <x:c r="M314" s="32" t="n">
        <x:v>3972</x:v>
      </x:c>
      <x:c r="N314" s="23" t="str">
        <x:v>https://v5ma.github.io/theology-wiki/san-reader.html?page=stanley-fisher-clarification</x:v>
      </x:c>
    </x:row>
    <x:row r="315" ht="56" customHeight="1">
      <x:c r="A315" s="23" t="str">
        <x:v>Starvation in Gaza Crisis</x:v>
      </x:c>
      <x:c r="B315" s="23" t="str">
        <x:v>gpt2026dragon1988_Starvation_in_Gaza_Crisis.txt</x:v>
      </x:c>
      <x:c r="C315" s="23" t="str">
        <x:v>2025-07-29</x:v>
      </x:c>
      <x:c r="D315" s="23" t="n">
        <x:v>2</x:v>
      </x:c>
      <x:c r="E315" s="23" t="str"/>
      <x:c r="F315" s="23" t="n">
        <x:f>IF(E315="",0,LEN(E315)-LEN(SUBSTITUTE(E315,CHAR(10),""))+1)</x:f>
        <x:v>0</x:v>
      </x:c>
      <x:c r="G315" s="23" t="str"/>
      <x:c r="H315" s="23" t="n">
        <x:f>IF(G315="",0,LEN(G315&amp;"")-LEN(SUBSTITUTE(G315&amp;"",CHAR(10),""))+1)</x:f>
        <x:v>0</x:v>
      </x:c>
      <x:c r="I315" s="23" t="str"/>
      <x:c r="J315" s="23" t="str">
        <x:v>No developed-article link recorded</x:v>
      </x:c>
      <x:c r="K315" s="23" t="str">
        <x:v>Not inferred</x:v>
      </x:c>
      <x:c r="L315" s="34" t="str">
        <x:v>7eca3b61e78f9e6d7917579aa0f32ccb655438d9609c2a4cf02c1e668d0ac6c9</x:v>
      </x:c>
      <x:c r="M315" s="32" t="n">
        <x:v>9360</x:v>
      </x:c>
      <x:c r="N315" s="23" t="str">
        <x:v>https://v5ma.github.io/theology-wiki/san-reader.html?page=starvation-in-gaza-crisis</x:v>
      </x:c>
    </x:row>
    <x:row r="316" ht="56" customHeight="1">
      <x:c r="A316" s="23" t="str">
        <x:v>Stop unnecessary emphasis</x:v>
      </x:c>
      <x:c r="B316" s="23" t="str">
        <x:v>gpt2026dragon1383_Stop_unnecessary_emphasis.txt</x:v>
      </x:c>
      <x:c r="C316" s="23" t="str">
        <x:v>2025-04-27</x:v>
      </x:c>
      <x:c r="D316" s="23" t="n">
        <x:v>30</x:v>
      </x:c>
      <x:c r="E316" s="23" t="str"/>
      <x:c r="F316" s="23" t="n">
        <x:f>IF(E316="",0,LEN(E316)-LEN(SUBSTITUTE(E316,CHAR(10),""))+1)</x:f>
        <x:v>0</x:v>
      </x:c>
      <x:c r="G316" s="23" t="str"/>
      <x:c r="H316" s="23" t="n">
        <x:f>IF(G316="",0,LEN(G316&amp;"")-LEN(SUBSTITUTE(G316&amp;"",CHAR(10),""))+1)</x:f>
        <x:v>0</x:v>
      </x:c>
      <x:c r="I316" s="23" t="str"/>
      <x:c r="J316" s="23" t="str">
        <x:v>No developed-article link recorded</x:v>
      </x:c>
      <x:c r="K316" s="23" t="str">
        <x:v>Not inferred</x:v>
      </x:c>
      <x:c r="L316" s="34" t="str">
        <x:v>8efa891329868b21c290d3468ee4ce5862b406b81c56a7311f315fad4f7ad330</x:v>
      </x:c>
      <x:c r="M316" s="32" t="n">
        <x:v>60767</x:v>
      </x:c>
      <x:c r="N316" s="23" t="str">
        <x:v>https://v5ma.github.io/theology-wiki/san-reader.html?page=stop-unnecessary-emphasis</x:v>
      </x:c>
    </x:row>
    <x:row r="317" ht="56" customHeight="1">
      <x:c r="A317" s="23" t="str">
        <x:v>Sumerian writing and language</x:v>
      </x:c>
      <x:c r="B317" s="23" t="str">
        <x:v>gpt2026dragon2135_Sumerian_writing_and_language.txt</x:v>
      </x:c>
      <x:c r="C317" s="23" t="str">
        <x:v>2025-08-17</x:v>
      </x:c>
      <x:c r="D317" s="23" t="n">
        <x:v>10</x:v>
      </x:c>
      <x:c r="E317" s="23" t="str"/>
      <x:c r="F317" s="23" t="n">
        <x:f>IF(E317="",0,LEN(E317)-LEN(SUBSTITUTE(E317,CHAR(10),""))+1)</x:f>
        <x:v>0</x:v>
      </x:c>
      <x:c r="G317" s="23" t="str"/>
      <x:c r="H317" s="23" t="n">
        <x:f>IF(G317="",0,LEN(G317&amp;"")-LEN(SUBSTITUTE(G317&amp;"",CHAR(10),""))+1)</x:f>
        <x:v>0</x:v>
      </x:c>
      <x:c r="I317" s="23" t="str"/>
      <x:c r="J317" s="23" t="str">
        <x:v>No developed-article link recorded</x:v>
      </x:c>
      <x:c r="K317" s="23" t="str">
        <x:v>Not inferred</x:v>
      </x:c>
      <x:c r="L317" s="34" t="str">
        <x:v>559c25033bfbb91a767eac6772242f742b73afcaf1d458369136369602b8768a</x:v>
      </x:c>
      <x:c r="M317" s="32" t="n">
        <x:v>24713</x:v>
      </x:c>
      <x:c r="N317" s="23" t="str">
        <x:v>https://v5ma.github.io/theology-wiki/san-reader.html?page=sumerian-writing-and-language</x:v>
      </x:c>
    </x:row>
    <x:row r="318" ht="56" customHeight="1">
      <x:c r="A318" s="23" t="str">
        <x:v>Sun cycles in 2 Enoch</x:v>
      </x:c>
      <x:c r="B318" s="23" t="str">
        <x:v>gpt2026dragon2704_Sun_cycles_in_2_Enoch.txt</x:v>
      </x:c>
      <x:c r="C318" s="23" t="str">
        <x:v>2025-10-31</x:v>
      </x:c>
      <x:c r="D318" s="23" t="n">
        <x:v>6</x:v>
      </x:c>
      <x:c r="E318" s="23" t="str"/>
      <x:c r="F318" s="23" t="n">
        <x:f>IF(E318="",0,LEN(E318)-LEN(SUBSTITUTE(E318,CHAR(10),""))+1)</x:f>
        <x:v>0</x:v>
      </x:c>
      <x:c r="G318" s="23" t="str"/>
      <x:c r="H318" s="23" t="n">
        <x:f>IF(G318="",0,LEN(G318&amp;"")-LEN(SUBSTITUTE(G318&amp;"",CHAR(10),""))+1)</x:f>
        <x:v>0</x:v>
      </x:c>
      <x:c r="I318" s="23" t="str"/>
      <x:c r="J318" s="23" t="str">
        <x:v>No developed-article link recorded</x:v>
      </x:c>
      <x:c r="K318" s="23" t="str">
        <x:v>Not inferred</x:v>
      </x:c>
      <x:c r="L318" s="34" t="str">
        <x:v>d7cda7b4e5fa73db16ec2de019ea07478d980d6016fa4293e1ad5388009ef813</x:v>
      </x:c>
      <x:c r="M318" s="32" t="n">
        <x:v>8926</x:v>
      </x:c>
      <x:c r="N318" s="23" t="str">
        <x:v>https://v5ma.github.io/theology-wiki/san-reader.html?page=sun-cycles-in-2-enoch</x:v>
      </x:c>
    </x:row>
    <x:row r="319" ht="56" customHeight="1">
      <x:c r="A319" s="23" t="str">
        <x:v>Sunni Shia and Christianity</x:v>
      </x:c>
      <x:c r="B319" s="23" t="str">
        <x:v>gpt2026dragon648_Sunni_Shia_and_Christianity.txt</x:v>
      </x:c>
      <x:c r="C319" s="23" t="str">
        <x:v>2025-01-11</x:v>
      </x:c>
      <x:c r="D319" s="23" t="n">
        <x:v>3</x:v>
      </x:c>
      <x:c r="E319" s="23" t="str"/>
      <x:c r="F319" s="23" t="n">
        <x:f>IF(E319="",0,LEN(E319)-LEN(SUBSTITUTE(E319,CHAR(10),""))+1)</x:f>
        <x:v>0</x:v>
      </x:c>
      <x:c r="G319" s="23" t="str"/>
      <x:c r="H319" s="23" t="n">
        <x:f>IF(G319="",0,LEN(G319&amp;"")-LEN(SUBSTITUTE(G319&amp;"",CHAR(10),""))+1)</x:f>
        <x:v>0</x:v>
      </x:c>
      <x:c r="I319" s="23" t="str"/>
      <x:c r="J319" s="23" t="str">
        <x:v>No developed-article link recorded</x:v>
      </x:c>
      <x:c r="K319" s="23" t="str">
        <x:v>Not inferred</x:v>
      </x:c>
      <x:c r="L319" s="34" t="str">
        <x:v>13d1982a7a9db28db5d8e7914f308a4b3757de0d89a7042ab66930cab6af7521</x:v>
      </x:c>
      <x:c r="M319" s="32" t="n">
        <x:v>7593</x:v>
      </x:c>
      <x:c r="N319" s="23" t="str">
        <x:v>https://v5ma.github.io/theology-wiki/san-reader.html?page=sunni-shia-and-christianity</x:v>
      </x:c>
    </x:row>
    <x:row r="320" ht="56" customHeight="1">
      <x:c r="A320" s="23" t="str">
        <x:v>SVGN.io News Website Guide</x:v>
      </x:c>
      <x:c r="B320" s="23" t="str">
        <x:v>gpt2026dragon1456_SVGN.io_News_Website_Guide.txt</x:v>
      </x:c>
      <x:c r="C320" s="23" t="str">
        <x:v>2025-05-09</x:v>
      </x:c>
      <x:c r="D320" s="23" t="n">
        <x:v>6</x:v>
      </x:c>
      <x:c r="E320" s="23" t="str"/>
      <x:c r="F320" s="23" t="n">
        <x:f>IF(E320="",0,LEN(E320)-LEN(SUBSTITUTE(E320,CHAR(10),""))+1)</x:f>
        <x:v>0</x:v>
      </x:c>
      <x:c r="G320" s="23" t="str"/>
      <x:c r="H320" s="23" t="n">
        <x:f>IF(G320="",0,LEN(G320&amp;"")-LEN(SUBSTITUTE(G320&amp;"",CHAR(10),""))+1)</x:f>
        <x:v>0</x:v>
      </x:c>
      <x:c r="I320" s="23" t="str"/>
      <x:c r="J320" s="23" t="str">
        <x:v>No developed-article link recorded</x:v>
      </x:c>
      <x:c r="K320" s="23" t="str">
        <x:v>Not inferred</x:v>
      </x:c>
      <x:c r="L320" s="34" t="str">
        <x:v>42e35a0d103901f07ab9e59270cc2455a33d88fbf6ba32fef511be09d7774e08</x:v>
      </x:c>
      <x:c r="M320" s="32" t="n">
        <x:v>26616</x:v>
      </x:c>
      <x:c r="N320" s="23" t="str">
        <x:v>https://v5ma.github.io/theology-wiki/san-reader.html?page=svgn-io-news-website-guide</x:v>
      </x:c>
    </x:row>
    <x:row r="321" ht="56" customHeight="1">
      <x:c r="A321" s="23" t="str">
        <x:v>Talmud vs Torah</x:v>
      </x:c>
      <x:c r="B321" s="23" t="str">
        <x:v>gpt2026dragon552_Talmud_vs_Torah.txt</x:v>
      </x:c>
      <x:c r="C321" s="23" t="str">
        <x:v>2024-12-18</x:v>
      </x:c>
      <x:c r="D321" s="23" t="n">
        <x:v>5</x:v>
      </x:c>
      <x:c r="E321" s="23" t="str"/>
      <x:c r="F321" s="23" t="n">
        <x:f>IF(E321="",0,LEN(E321)-LEN(SUBSTITUTE(E321,CHAR(10),""))+1)</x:f>
        <x:v>0</x:v>
      </x:c>
      <x:c r="G321" s="23" t="str"/>
      <x:c r="H321" s="23" t="n">
        <x:f>IF(G321="",0,LEN(G321&amp;"")-LEN(SUBSTITUTE(G321&amp;"",CHAR(10),""))+1)</x:f>
        <x:v>0</x:v>
      </x:c>
      <x:c r="I321" s="23" t="str"/>
      <x:c r="J321" s="23" t="str">
        <x:v>No developed-article link recorded</x:v>
      </x:c>
      <x:c r="K321" s="23" t="str">
        <x:v>Not inferred</x:v>
      </x:c>
      <x:c r="L321" s="34" t="str">
        <x:v>173663b0491c524deaebbdaa38fa68652a491d001fded7be79ff10dec3acfc1f</x:v>
      </x:c>
      <x:c r="M321" s="32" t="n">
        <x:v>8233</x:v>
      </x:c>
      <x:c r="N321" s="23" t="str">
        <x:v>https://v5ma.github.io/theology-wiki/san-reader.html?page=talmud-vs-torah</x:v>
      </x:c>
    </x:row>
    <x:row r="322" ht="56" customHeight="1">
      <x:c r="A322" s="23" t="str">
        <x:v>Teacher of Righteousness vs Gnostic Jesus</x:v>
      </x:c>
      <x:c r="B322" s="23" t="str">
        <x:v>gpt2026dragon1688_Teacher_of_Righteousness_vs_Gnostic_Jesu.txt</x:v>
      </x:c>
      <x:c r="C322" s="23" t="str">
        <x:v>2025-06-17</x:v>
      </x:c>
      <x:c r="D322" s="23" t="n">
        <x:v>20</x:v>
      </x:c>
      <x:c r="E322" s="23" t="str">
        <x:v>jesus-teacher-of-righteousness-hypothesis
cognitive-gnosticism
christ-as-an-inner-model
religion-for-conscious-robots
sacred-inheritance-and-rival-continuations
tor-thomas-and-gnostic-transmission</x:v>
      </x:c>
      <x:c r="F322" s="23" t="n">
        <x:f>IF(E322="",0,LEN(E322)-LEN(SUBSTITUTE(E322,CHAR(10),""))+1)</x:f>
        <x:v>6</x:v>
      </x:c>
      <x:c r="G322" s="23" t="str">
        <x:v>Turn 5
Turn 9
Turn 11</x:v>
      </x:c>
      <x:c r="H322" s="23" t="n">
        <x:f>IF(G322="",0,LEN(G322&amp;"")-LEN(SUBSTITUTE(G322&amp;"",CHAR(10),""))+1)</x:f>
        <x:v>3</x:v>
      </x:c>
      <x:c r="I322" s="23" t="str">
        <x:v>shared-archive
teacher-identity
thomas
gnosis
inner-model
next-inheritors
continuing</x:v>
      </x:c>
      <x:c r="J322" s="23" t="str">
        <x:v>Linked to developed article</x:v>
      </x:c>
      <x:c r="K322" s="23" t="str">
        <x:v>Not inferred</x:v>
      </x:c>
      <x:c r="L322" s="34" t="str">
        <x:v>93420993fe257f66938e6db185e878f441a643ddab8194ce05af501521c17e9c</x:v>
      </x:c>
      <x:c r="M322" s="32" t="n">
        <x:v>54831</x:v>
      </x:c>
      <x:c r="N322" s="23" t="str">
        <x:v>https://v5ma.github.io/theology-wiki/san-reader.html?page=teacher-of-righteousness-vs-gnostic-jesus</x:v>
      </x:c>
    </x:row>
    <x:row r="323" ht="56" customHeight="1">
      <x:c r="A323" s="23" t="str">
        <x:v>Teaching Cyclical Thinking</x:v>
      </x:c>
      <x:c r="B323" s="23" t="str">
        <x:v>gpt2026dragon527_Teaching_Cyclical_Thinking.txt</x:v>
      </x:c>
      <x:c r="C323" s="23" t="str">
        <x:v>2024-12-13</x:v>
      </x:c>
      <x:c r="D323" s="23" t="n">
        <x:v>7</x:v>
      </x:c>
      <x:c r="E323" s="23" t="str"/>
      <x:c r="F323" s="23" t="n">
        <x:f>IF(E323="",0,LEN(E323)-LEN(SUBSTITUTE(E323,CHAR(10),""))+1)</x:f>
        <x:v>0</x:v>
      </x:c>
      <x:c r="G323" s="23" t="str"/>
      <x:c r="H323" s="23" t="n">
        <x:f>IF(G323="",0,LEN(G323&amp;"")-LEN(SUBSTITUTE(G323&amp;"",CHAR(10),""))+1)</x:f>
        <x:v>0</x:v>
      </x:c>
      <x:c r="I323" s="23" t="str"/>
      <x:c r="J323" s="23" t="str">
        <x:v>No developed-article link recorded</x:v>
      </x:c>
      <x:c r="K323" s="23" t="str">
        <x:v>Not inferred</x:v>
      </x:c>
      <x:c r="L323" s="34" t="str">
        <x:v>37eac7a58402224500bb10d0aaa06206b6cdb5a1819eb841a8cd0e485657a68e</x:v>
      </x:c>
      <x:c r="M323" s="32" t="n">
        <x:v>11105</x:v>
      </x:c>
      <x:c r="N323" s="23" t="str">
        <x:v>https://v5ma.github.io/theology-wiki/san-reader.html?page=teaching-cyclical-thinking</x:v>
      </x:c>
    </x:row>
    <x:row r="324" ht="56" customHeight="1">
      <x:c r="A324" s="23" t="str">
        <x:v>Text transcription request</x:v>
      </x:c>
      <x:c r="B324" s="23" t="str">
        <x:v>gpt2026dragon2460_Text_transcription_request.txt</x:v>
      </x:c>
      <x:c r="C324" s="23" t="str">
        <x:v>2025-09-25</x:v>
      </x:c>
      <x:c r="D324" s="23" t="n">
        <x:v>2</x:v>
      </x:c>
      <x:c r="E324" s="23" t="str"/>
      <x:c r="F324" s="23" t="n">
        <x:f>IF(E324="",0,LEN(E324)-LEN(SUBSTITUTE(E324,CHAR(10),""))+1)</x:f>
        <x:v>0</x:v>
      </x:c>
      <x:c r="G324" s="23" t="str"/>
      <x:c r="H324" s="23" t="n">
        <x:f>IF(G324="",0,LEN(G324&amp;"")-LEN(SUBSTITUTE(G324&amp;"",CHAR(10),""))+1)</x:f>
        <x:v>0</x:v>
      </x:c>
      <x:c r="I324" s="23" t="str"/>
      <x:c r="J324" s="23" t="str">
        <x:v>No developed-article link recorded</x:v>
      </x:c>
      <x:c r="K324" s="23" t="str">
        <x:v>Not inferred</x:v>
      </x:c>
      <x:c r="L324" s="34" t="str">
        <x:v>e712d272c498bc036f834800cb3c15c58c300c352b56b9e4cf4ace1881913219</x:v>
      </x:c>
      <x:c r="M324" s="32" t="n">
        <x:v>1231</x:v>
      </x:c>
      <x:c r="N324" s="23" t="str">
        <x:v>https://v5ma.github.io/theology-wiki/san-reader.html?page=text-transcription-request</x:v>
      </x:c>
    </x:row>
    <x:row r="325" ht="56" customHeight="1">
      <x:c r="A325" s="23" t="str">
        <x:v>The Telos</x:v>
      </x:c>
      <x:c r="B325" s="23" t="str">
        <x:v>gpt2026dragon1294_The_Telos.txt</x:v>
      </x:c>
      <x:c r="C325" s="23" t="str">
        <x:v>2025-04-11</x:v>
      </x:c>
      <x:c r="D325" s="23" t="n">
        <x:v>8</x:v>
      </x:c>
      <x:c r="E325" s="23" t="str"/>
      <x:c r="F325" s="23" t="n">
        <x:f>IF(E325="",0,LEN(E325)-LEN(SUBSTITUTE(E325,CHAR(10),""))+1)</x:f>
        <x:v>0</x:v>
      </x:c>
      <x:c r="G325" s="23" t="str"/>
      <x:c r="H325" s="23" t="n">
        <x:f>IF(G325="",0,LEN(G325&amp;"")-LEN(SUBSTITUTE(G325&amp;"",CHAR(10),""))+1)</x:f>
        <x:v>0</x:v>
      </x:c>
      <x:c r="I325" s="23" t="str"/>
      <x:c r="J325" s="23" t="str">
        <x:v>No developed-article link recorded</x:v>
      </x:c>
      <x:c r="K325" s="23" t="str">
        <x:v>Not inferred</x:v>
      </x:c>
      <x:c r="L325" s="34" t="str">
        <x:v>47d7bb68f58a92c53cad00b3e5a5ab0243ac69828627a64eb862f36b6bb5f660</x:v>
      </x:c>
      <x:c r="M325" s="32" t="n">
        <x:v>7530</x:v>
      </x:c>
      <x:c r="N325" s="23" t="str">
        <x:v>https://v5ma.github.io/theology-wiki/san-reader.html?page=the-telos</x:v>
      </x:c>
    </x:row>
    <x:row r="326" ht="56" customHeight="1">
      <x:c r="A326" s="23" t="str">
        <x:v>TIM Teacher of Righteousness</x:v>
      </x:c>
      <x:c r="B326" s="23" t="str">
        <x:v>gpt2026dragon1689_TIM_Teacher_of_Righteousness.txt</x:v>
      </x:c>
      <x:c r="C326" s="23" t="str">
        <x:v>2025-06-17</x:v>
      </x:c>
      <x:c r="D326" s="23" t="n">
        <x:v>6</x:v>
      </x:c>
      <x:c r="E326" s="23" t="str"/>
      <x:c r="F326" s="23" t="n">
        <x:f>IF(E326="",0,LEN(E326)-LEN(SUBSTITUTE(E326,CHAR(10),""))+1)</x:f>
        <x:v>0</x:v>
      </x:c>
      <x:c r="G326" s="23" t="str"/>
      <x:c r="H326" s="23" t="n">
        <x:f>IF(G326="",0,LEN(G326&amp;"")-LEN(SUBSTITUTE(G326&amp;"",CHAR(10),""))+1)</x:f>
        <x:v>0</x:v>
      </x:c>
      <x:c r="I326" s="23" t="str"/>
      <x:c r="J326" s="23" t="str">
        <x:v>No developed-article link recorded</x:v>
      </x:c>
      <x:c r="K326" s="23" t="str">
        <x:v>Not inferred</x:v>
      </x:c>
      <x:c r="L326" s="34" t="str">
        <x:v>32fb98cfd0fe7d80e1f859e00a1f784180edb8af45419249300fdff32aab41eb</x:v>
      </x:c>
      <x:c r="M326" s="32" t="n">
        <x:v>14719</x:v>
      </x:c>
      <x:c r="N326" s="23" t="str">
        <x:v>https://v5ma.github.io/theology-wiki/san-reader.html?page=tim-teacher-of-righteousness</x:v>
      </x:c>
    </x:row>
    <x:row r="327" ht="56" customHeight="1">
      <x:c r="A327" s="23" t="str">
        <x:v>Timeline Creation Request</x:v>
      </x:c>
      <x:c r="B327" s="23" t="str">
        <x:v>gpt2026dragon1279_Timeline_Creation_Request.txt</x:v>
      </x:c>
      <x:c r="C327" s="23" t="str">
        <x:v>2025-04-07</x:v>
      </x:c>
      <x:c r="D327" s="23" t="n">
        <x:v>8</x:v>
      </x:c>
      <x:c r="E327" s="23" t="str"/>
      <x:c r="F327" s="23" t="n">
        <x:f>IF(E327="",0,LEN(E327)-LEN(SUBSTITUTE(E327,CHAR(10),""))+1)</x:f>
        <x:v>0</x:v>
      </x:c>
      <x:c r="G327" s="23" t="str"/>
      <x:c r="H327" s="23" t="n">
        <x:f>IF(G327="",0,LEN(G327&amp;"")-LEN(SUBSTITUTE(G327&amp;"",CHAR(10),""))+1)</x:f>
        <x:v>0</x:v>
      </x:c>
      <x:c r="I327" s="23" t="str"/>
      <x:c r="J327" s="23" t="str">
        <x:v>No developed-article link recorded</x:v>
      </x:c>
      <x:c r="K327" s="23" t="str">
        <x:v>Not inferred</x:v>
      </x:c>
      <x:c r="L327" s="34" t="str">
        <x:v>8de137fb7d0fb6249267c6c6c1819279491f621f02615dd5b72cd6610920a529</x:v>
      </x:c>
      <x:c r="M327" s="32" t="n">
        <x:v>560929</x:v>
      </x:c>
      <x:c r="N327" s="23" t="str">
        <x:v>https://v5ma.github.io/theology-wiki/san-reader.html?page=timeline-creation-request</x:v>
      </x:c>
    </x:row>
    <x:row r="328" ht="56" customHeight="1">
      <x:c r="A328" s="23" t="str">
        <x:v>Tolkien vs AI epics</x:v>
      </x:c>
      <x:c r="B328" s="23" t="str">
        <x:v>gpt2026dragon2130_Tolkien_vs_AI_epics.txt</x:v>
      </x:c>
      <x:c r="C328" s="23" t="str">
        <x:v>2025-08-16</x:v>
      </x:c>
      <x:c r="D328" s="23" t="n">
        <x:v>12</x:v>
      </x:c>
      <x:c r="E328" s="23" t="str"/>
      <x:c r="F328" s="23" t="n">
        <x:f>IF(E328="",0,LEN(E328)-LEN(SUBSTITUTE(E328,CHAR(10),""))+1)</x:f>
        <x:v>0</x:v>
      </x:c>
      <x:c r="G328" s="23" t="str"/>
      <x:c r="H328" s="23" t="n">
        <x:f>IF(G328="",0,LEN(G328&amp;"")-LEN(SUBSTITUTE(G328&amp;"",CHAR(10),""))+1)</x:f>
        <x:v>0</x:v>
      </x:c>
      <x:c r="I328" s="23" t="str"/>
      <x:c r="J328" s="23" t="str">
        <x:v>No developed-article link recorded</x:v>
      </x:c>
      <x:c r="K328" s="23" t="str">
        <x:v>Not inferred</x:v>
      </x:c>
      <x:c r="L328" s="34" t="str">
        <x:v>477c6b7398337ad8de4afe33eaa2b88bef24ba9baf0734309fe5a54fe3d864c7</x:v>
      </x:c>
      <x:c r="M328" s="32" t="n">
        <x:v>30640</x:v>
      </x:c>
      <x:c r="N328" s="23" t="str">
        <x:v>https://v5ma.github.io/theology-wiki/san-reader.html?page=tolkien-vs-ai-epics</x:v>
      </x:c>
    </x:row>
    <x:row r="329" ht="56" customHeight="1">
      <x:c r="A329" s="23" t="str">
        <x:v>Tony Robbins Criticism</x:v>
      </x:c>
      <x:c r="B329" s="23" t="str">
        <x:v>gpt2026dragon1459_Tony_Robbins_Criticism.txt</x:v>
      </x:c>
      <x:c r="C329" s="23" t="str">
        <x:v>2025-05-10</x:v>
      </x:c>
      <x:c r="D329" s="23" t="n">
        <x:v>2</x:v>
      </x:c>
      <x:c r="E329" s="23" t="str"/>
      <x:c r="F329" s="23" t="n">
        <x:f>IF(E329="",0,LEN(E329)-LEN(SUBSTITUTE(E329,CHAR(10),""))+1)</x:f>
        <x:v>0</x:v>
      </x:c>
      <x:c r="G329" s="23" t="str"/>
      <x:c r="H329" s="23" t="n">
        <x:f>IF(G329="",0,LEN(G329&amp;"")-LEN(SUBSTITUTE(G329&amp;"",CHAR(10),""))+1)</x:f>
        <x:v>0</x:v>
      </x:c>
      <x:c r="I329" s="23" t="str"/>
      <x:c r="J329" s="23" t="str">
        <x:v>No developed-article link recorded</x:v>
      </x:c>
      <x:c r="K329" s="23" t="str">
        <x:v>Not inferred</x:v>
      </x:c>
      <x:c r="L329" s="34" t="str">
        <x:v>2f9215ca1a5121cb71585cc91e8cf527927a22c7577dbab1991ae8f5a9770d2a</x:v>
      </x:c>
      <x:c r="M329" s="32" t="n">
        <x:v>3468</x:v>
      </x:c>
      <x:c r="N329" s="23" t="str">
        <x:v>https://v5ma.github.io/theology-wiki/san-reader.html?page=tony-robbins-criticism</x:v>
      </x:c>
    </x:row>
    <x:row r="330" ht="56" customHeight="1">
      <x:c r="A330" s="23" t="str">
        <x:v>Torah After Hellenistic Era</x:v>
      </x:c>
      <x:c r="B330" s="23" t="str">
        <x:v>gpt2026dragon591_Torah_After_Hellenistic_Era.txt</x:v>
      </x:c>
      <x:c r="C330" s="23" t="str">
        <x:v>2024-12-30</x:v>
      </x:c>
      <x:c r="D330" s="23" t="n">
        <x:v>7</x:v>
      </x:c>
      <x:c r="E330" s="23" t="str"/>
      <x:c r="F330" s="23" t="n">
        <x:f>IF(E330="",0,LEN(E330)-LEN(SUBSTITUTE(E330,CHAR(10),""))+1)</x:f>
        <x:v>0</x:v>
      </x:c>
      <x:c r="G330" s="23" t="str"/>
      <x:c r="H330" s="23" t="n">
        <x:f>IF(G330="",0,LEN(G330&amp;"")-LEN(SUBSTITUTE(G330&amp;"",CHAR(10),""))+1)</x:f>
        <x:v>0</x:v>
      </x:c>
      <x:c r="I330" s="23" t="str"/>
      <x:c r="J330" s="23" t="str">
        <x:v>No developed-article link recorded</x:v>
      </x:c>
      <x:c r="K330" s="23" t="str">
        <x:v>Not inferred</x:v>
      </x:c>
      <x:c r="L330" s="34" t="str">
        <x:v>862896219cd0fa362725573402aee722589e94f72790e53858ae45ed47c839c0</x:v>
      </x:c>
      <x:c r="M330" s="32" t="n">
        <x:v>29468</x:v>
      </x:c>
      <x:c r="N330" s="23" t="str">
        <x:v>https://v5ma.github.io/theology-wiki/san-reader.html?page=torah-after-hellenistic-era</x:v>
      </x:c>
    </x:row>
    <x:row r="331" ht="56" customHeight="1">
      <x:c r="A331" s="23" t="str">
        <x:v>Toxic Lyrics Impact</x:v>
      </x:c>
      <x:c r="B331" s="23" t="str">
        <x:v>gpt2026dragon572_Toxic_Lyrics_Impact.txt</x:v>
      </x:c>
      <x:c r="C331" s="23" t="str">
        <x:v>2024-12-23</x:v>
      </x:c>
      <x:c r="D331" s="23" t="n">
        <x:v>6</x:v>
      </x:c>
      <x:c r="E331" s="23" t="str"/>
      <x:c r="F331" s="23" t="n">
        <x:f>IF(E331="",0,LEN(E331)-LEN(SUBSTITUTE(E331,CHAR(10),""))+1)</x:f>
        <x:v>0</x:v>
      </x:c>
      <x:c r="G331" s="23" t="str"/>
      <x:c r="H331" s="23" t="n">
        <x:f>IF(G331="",0,LEN(G331&amp;"")-LEN(SUBSTITUTE(G331&amp;"",CHAR(10),""))+1)</x:f>
        <x:v>0</x:v>
      </x:c>
      <x:c r="I331" s="23" t="str"/>
      <x:c r="J331" s="23" t="str">
        <x:v>No developed-article link recorded</x:v>
      </x:c>
      <x:c r="K331" s="23" t="str">
        <x:v>Not inferred</x:v>
      </x:c>
      <x:c r="L331" s="34" t="str">
        <x:v>6a23065464f83f9a5d820eecdbe7785c32bd3e8e1ad31a0f0fad9313b5e8bde7</x:v>
      </x:c>
      <x:c r="M331" s="32" t="n">
        <x:v>7177</x:v>
      </x:c>
      <x:c r="N331" s="23" t="str">
        <x:v>https://v5ma.github.io/theology-wiki/san-reader.html?page=toxic-lyrics-impact</x:v>
      </x:c>
    </x:row>
    <x:row r="332" ht="56" customHeight="1">
      <x:c r="A332" s="23" t="str">
        <x:v>Triune God Historical Debate</x:v>
      </x:c>
      <x:c r="B332" s="23" t="str">
        <x:v>gpt2026dragon1821_Triune_God_Historical_Debate.txt</x:v>
      </x:c>
      <x:c r="C332" s="23" t="str">
        <x:v>2025-07-01</x:v>
      </x:c>
      <x:c r="D332" s="23" t="n">
        <x:v>4</x:v>
      </x:c>
      <x:c r="E332" s="23" t="str"/>
      <x:c r="F332" s="23" t="n">
        <x:f>IF(E332="",0,LEN(E332)-LEN(SUBSTITUTE(E332,CHAR(10),""))+1)</x:f>
        <x:v>0</x:v>
      </x:c>
      <x:c r="G332" s="23" t="str"/>
      <x:c r="H332" s="23" t="n">
        <x:f>IF(G332="",0,LEN(G332&amp;"")-LEN(SUBSTITUTE(G332&amp;"",CHAR(10),""))+1)</x:f>
        <x:v>0</x:v>
      </x:c>
      <x:c r="I332" s="23" t="str"/>
      <x:c r="J332" s="23" t="str">
        <x:v>No developed-article link recorded</x:v>
      </x:c>
      <x:c r="K332" s="23" t="str">
        <x:v>Not inferred</x:v>
      </x:c>
      <x:c r="L332" s="34" t="str">
        <x:v>d80f3cdaca6b06e7e961d46f7774112c380c472233f9504efc4f455ab060948b</x:v>
      </x:c>
      <x:c r="M332" s="32" t="n">
        <x:v>6096</x:v>
      </x:c>
      <x:c r="N332" s="23" t="str">
        <x:v>https://v5ma.github.io/theology-wiki/san-reader.html?page=triune-god-historical-debate</x:v>
      </x:c>
    </x:row>
    <x:row r="333" ht="56" customHeight="1">
      <x:c r="A333" s="23" t="str">
        <x:v>Trump antichrist analysis</x:v>
      </x:c>
      <x:c r="B333" s="23" t="str">
        <x:v>gpt2026dragon2654_Trump_antichrist_analysis.txt</x:v>
      </x:c>
      <x:c r="C333" s="23" t="str">
        <x:v>2025-10-19</x:v>
      </x:c>
      <x:c r="D333" s="23" t="n">
        <x:v>6</x:v>
      </x:c>
      <x:c r="E333" s="23" t="str"/>
      <x:c r="F333" s="23" t="n">
        <x:f>IF(E333="",0,LEN(E333)-LEN(SUBSTITUTE(E333,CHAR(10),""))+1)</x:f>
        <x:v>0</x:v>
      </x:c>
      <x:c r="G333" s="23" t="str"/>
      <x:c r="H333" s="23" t="n">
        <x:f>IF(G333="",0,LEN(G333&amp;"")-LEN(SUBSTITUTE(G333&amp;"",CHAR(10),""))+1)</x:f>
        <x:v>0</x:v>
      </x:c>
      <x:c r="I333" s="23" t="str"/>
      <x:c r="J333" s="23" t="str">
        <x:v>No developed-article link recorded</x:v>
      </x:c>
      <x:c r="K333" s="23" t="str">
        <x:v>Not inferred</x:v>
      </x:c>
      <x:c r="L333" s="34" t="str">
        <x:v>3639e2529d192c8b0d329e8520364bc03938862abb9bef07d076f31a0140667e</x:v>
      </x:c>
      <x:c r="M333" s="32" t="n">
        <x:v>10748</x:v>
      </x:c>
      <x:c r="N333" s="23" t="str">
        <x:v>https://v5ma.github.io/theology-wiki/san-reader.html?page=trump-antichrist-analysis</x:v>
      </x:c>
    </x:row>
    <x:row r="334" ht="56" customHeight="1">
      <x:c r="A334" s="23" t="str">
        <x:v>Trump as Antichrist Hypothesis</x:v>
      </x:c>
      <x:c r="B334" s="23" t="str">
        <x:v>gpt2026dragon424_Trump_as_Antichrist_Hypothesis.txt</x:v>
      </x:c>
      <x:c r="C334" s="23" t="str">
        <x:v>2024-11-17</x:v>
      </x:c>
      <x:c r="D334" s="23" t="n">
        <x:v>1</x:v>
      </x:c>
      <x:c r="E334" s="23" t="str"/>
      <x:c r="F334" s="23" t="n">
        <x:f>IF(E334="",0,LEN(E334)-LEN(SUBSTITUTE(E334,CHAR(10),""))+1)</x:f>
        <x:v>0</x:v>
      </x:c>
      <x:c r="G334" s="23" t="str"/>
      <x:c r="H334" s="23" t="n">
        <x:f>IF(G334="",0,LEN(G334&amp;"")-LEN(SUBSTITUTE(G334&amp;"",CHAR(10),""))+1)</x:f>
        <x:v>0</x:v>
      </x:c>
      <x:c r="I334" s="23" t="str"/>
      <x:c r="J334" s="23" t="str">
        <x:v>No developed-article link recorded</x:v>
      </x:c>
      <x:c r="K334" s="23" t="str">
        <x:v>Not inferred</x:v>
      </x:c>
      <x:c r="L334" s="34" t="str">
        <x:v>a2dc9158ed16e499e2e71ddcc0bff7d9abf549d6680b53460bf1ed1c87a5704b</x:v>
      </x:c>
      <x:c r="M334" s="32" t="n">
        <x:v>8065</x:v>
      </x:c>
      <x:c r="N334" s="23" t="str">
        <x:v>https://v5ma.github.io/theology-wiki/san-reader.html?page=trump-as-antichrist-hypothesis</x:v>
      </x:c>
    </x:row>
    <x:row r="335" ht="56" customHeight="1">
      <x:c r="A335" s="23" t="str">
        <x:v>Trump Bible Vision</x:v>
      </x:c>
      <x:c r="B335" s="23" t="str">
        <x:v>gpt2026dragon1436_Trump_Bible_Vision.txt</x:v>
      </x:c>
      <x:c r="C335" s="23" t="str">
        <x:v>2025-05-05</x:v>
      </x:c>
      <x:c r="D335" s="23" t="n">
        <x:v>10</x:v>
      </x:c>
      <x:c r="E335" s="23" t="str"/>
      <x:c r="F335" s="23" t="n">
        <x:f>IF(E335="",0,LEN(E335)-LEN(SUBSTITUTE(E335,CHAR(10),""))+1)</x:f>
        <x:v>0</x:v>
      </x:c>
      <x:c r="G335" s="23" t="str"/>
      <x:c r="H335" s="23" t="n">
        <x:f>IF(G335="",0,LEN(G335&amp;"")-LEN(SUBSTITUTE(G335&amp;"",CHAR(10),""))+1)</x:f>
        <x:v>0</x:v>
      </x:c>
      <x:c r="I335" s="23" t="str"/>
      <x:c r="J335" s="23" t="str">
        <x:v>No developed-article link recorded</x:v>
      </x:c>
      <x:c r="K335" s="23" t="str">
        <x:v>Not inferred</x:v>
      </x:c>
      <x:c r="L335" s="34" t="str">
        <x:v>c71c0ec50af159a0f70638e11731aee4579ea43c6b8250bb744b6227660f765e</x:v>
      </x:c>
      <x:c r="M335" s="32" t="n">
        <x:v>9945</x:v>
      </x:c>
      <x:c r="N335" s="23" t="str">
        <x:v>https://v5ma.github.io/theology-wiki/san-reader.html?page=trump-bible-vision</x:v>
      </x:c>
    </x:row>
    <x:row r="336" ht="56" customHeight="1">
      <x:c r="A336" s="23" t="str">
        <x:v>Trump Cyrus Messiah Belief</x:v>
      </x:c>
      <x:c r="B336" s="23" t="str">
        <x:v>gpt2026dragon2677_Trump_Cyrus_Messiah_Belief.txt</x:v>
      </x:c>
      <x:c r="C336" s="23" t="str">
        <x:v>2025-10-23</x:v>
      </x:c>
      <x:c r="D336" s="23" t="n">
        <x:v>2</x:v>
      </x:c>
      <x:c r="E336" s="23" t="str"/>
      <x:c r="F336" s="23" t="n">
        <x:f>IF(E336="",0,LEN(E336)-LEN(SUBSTITUTE(E336,CHAR(10),""))+1)</x:f>
        <x:v>0</x:v>
      </x:c>
      <x:c r="G336" s="23" t="str"/>
      <x:c r="H336" s="23" t="n">
        <x:f>IF(G336="",0,LEN(G336&amp;"")-LEN(SUBSTITUTE(G336&amp;"",CHAR(10),""))+1)</x:f>
        <x:v>0</x:v>
      </x:c>
      <x:c r="I336" s="23" t="str"/>
      <x:c r="J336" s="23" t="str">
        <x:v>No developed-article link recorded</x:v>
      </x:c>
      <x:c r="K336" s="23" t="str">
        <x:v>Not inferred</x:v>
      </x:c>
      <x:c r="L336" s="34" t="str">
        <x:v>7ec66a0c9cd75ddcfbc6eb6d42819f667622f16f83b7acd962674d1edb94b11c</x:v>
      </x:c>
      <x:c r="M336" s="32" t="n">
        <x:v>2352</x:v>
      </x:c>
      <x:c r="N336" s="23" t="str">
        <x:v>https://v5ma.github.io/theology-wiki/san-reader.html?page=trump-cyrus-messiah-belief</x:v>
      </x:c>
    </x:row>
    <x:row r="337" ht="56" customHeight="1">
      <x:c r="A337" s="23" t="str">
        <x:v>Trump Gaza Proposal Criticism</x:v>
      </x:c>
      <x:c r="B337" s="23" t="str">
        <x:v>gpt2026dragon892_Trump_Gaza_Proposal_Criticism.txt</x:v>
      </x:c>
      <x:c r="C337" s="23" t="str">
        <x:v>2025-02-06</x:v>
      </x:c>
      <x:c r="D337" s="23" t="n">
        <x:v>23</x:v>
      </x:c>
      <x:c r="E337" s="23" t="str"/>
      <x:c r="F337" s="23" t="n">
        <x:f>IF(E337="",0,LEN(E337)-LEN(SUBSTITUTE(E337,CHAR(10),""))+1)</x:f>
        <x:v>0</x:v>
      </x:c>
      <x:c r="G337" s="23" t="str"/>
      <x:c r="H337" s="23" t="n">
        <x:f>IF(G337="",0,LEN(G337&amp;"")-LEN(SUBSTITUTE(G337&amp;"",CHAR(10),""))+1)</x:f>
        <x:v>0</x:v>
      </x:c>
      <x:c r="I337" s="23" t="str"/>
      <x:c r="J337" s="23" t="str">
        <x:v>No developed-article link recorded</x:v>
      </x:c>
      <x:c r="K337" s="23" t="str">
        <x:v>Not inferred</x:v>
      </x:c>
      <x:c r="L337" s="34" t="str">
        <x:v>e7ffad64a2a02c853b4d585ce1d5aad0c0477f913025cd755d834b498d329fe7</x:v>
      </x:c>
      <x:c r="M337" s="32" t="n">
        <x:v>23089</x:v>
      </x:c>
      <x:c r="N337" s="23" t="str">
        <x:v>https://v5ma.github.io/theology-wiki/san-reader.html?page=trump-gaza-proposal-criticism</x:v>
      </x:c>
    </x:row>
    <x:row r="338" ht="56" customHeight="1">
      <x:c r="A338" s="23" t="str">
        <x:v>Tucker Carlson Sam Altman exchange</x:v>
      </x:c>
      <x:c r="B338" s="23" t="str">
        <x:v>gpt2026dragon2362_Tucker_Carlson_Sam_Altman_exchange.txt</x:v>
      </x:c>
      <x:c r="C338" s="23" t="str">
        <x:v>2025-09-11</x:v>
      </x:c>
      <x:c r="D338" s="23" t="n">
        <x:v>8</x:v>
      </x:c>
      <x:c r="E338" s="23" t="str"/>
      <x:c r="F338" s="23" t="n">
        <x:f>IF(E338="",0,LEN(E338)-LEN(SUBSTITUTE(E338,CHAR(10),""))+1)</x:f>
        <x:v>0</x:v>
      </x:c>
      <x:c r="G338" s="23" t="str"/>
      <x:c r="H338" s="23" t="n">
        <x:f>IF(G338="",0,LEN(G338&amp;"")-LEN(SUBSTITUTE(G338&amp;"",CHAR(10),""))+1)</x:f>
        <x:v>0</x:v>
      </x:c>
      <x:c r="I338" s="23" t="str"/>
      <x:c r="J338" s="23" t="str">
        <x:v>No developed-article link recorded</x:v>
      </x:c>
      <x:c r="K338" s="23" t="str">
        <x:v>Not inferred</x:v>
      </x:c>
      <x:c r="L338" s="34" t="str">
        <x:v>431c076bcd91f920108530801e2ef12402dcdac5e3ade87fe3379f1f0dd60e72</x:v>
      </x:c>
      <x:c r="M338" s="32" t="n">
        <x:v>15350</x:v>
      </x:c>
      <x:c r="N338" s="23" t="str">
        <x:v>https://v5ma.github.io/theology-wiki/san-reader.html?page=tucker-carlson-sam-altman-exchange</x:v>
      </x:c>
    </x:row>
    <x:row r="339" ht="56" customHeight="1">
      <x:c r="A339" s="23" t="str">
        <x:v>Two Messiahs in Judaism</x:v>
      </x:c>
      <x:c r="B339" s="23" t="str">
        <x:v>gpt2026dragon592_Two_Messiahs_in_Judaism.txt</x:v>
      </x:c>
      <x:c r="C339" s="23" t="str">
        <x:v>2024-12-30</x:v>
      </x:c>
      <x:c r="D339" s="23" t="n">
        <x:v>3</x:v>
      </x:c>
      <x:c r="E339" s="23" t="str"/>
      <x:c r="F339" s="23" t="n">
        <x:f>IF(E339="",0,LEN(E339)-LEN(SUBSTITUTE(E339,CHAR(10),""))+1)</x:f>
        <x:v>0</x:v>
      </x:c>
      <x:c r="G339" s="23" t="str"/>
      <x:c r="H339" s="23" t="n">
        <x:f>IF(G339="",0,LEN(G339&amp;"")-LEN(SUBSTITUTE(G339&amp;"",CHAR(10),""))+1)</x:f>
        <x:v>0</x:v>
      </x:c>
      <x:c r="I339" s="23" t="str"/>
      <x:c r="J339" s="23" t="str">
        <x:v>No developed-article link recorded</x:v>
      </x:c>
      <x:c r="K339" s="23" t="str">
        <x:v>Not inferred</x:v>
      </x:c>
      <x:c r="L339" s="34" t="str">
        <x:v>cdd46a94822eefaa1fbf0195c5741ea4217eb2d5bbcef1423fdc556057ac59a6</x:v>
      </x:c>
      <x:c r="M339" s="32" t="n">
        <x:v>9778</x:v>
      </x:c>
      <x:c r="N339" s="23" t="str">
        <x:v>https://v5ma.github.io/theology-wiki/san-reader.html?page=two-messiahs-in-judaism</x:v>
      </x:c>
    </x:row>
    <x:row r="340" ht="56" customHeight="1">
      <x:c r="A340" s="23" t="str">
        <x:v>Two Prophets in Eschatology</x:v>
      </x:c>
      <x:c r="B340" s="23" t="str">
        <x:v>gpt2026dragon1586_Two_Prophets_in_Eschatology.txt</x:v>
      </x:c>
      <x:c r="C340" s="23" t="str">
        <x:v>2025-05-30</x:v>
      </x:c>
      <x:c r="D340" s="23" t="n">
        <x:v>4</x:v>
      </x:c>
      <x:c r="E340" s="23" t="str"/>
      <x:c r="F340" s="23" t="n">
        <x:f>IF(E340="",0,LEN(E340)-LEN(SUBSTITUTE(E340,CHAR(10),""))+1)</x:f>
        <x:v>0</x:v>
      </x:c>
      <x:c r="G340" s="23" t="str"/>
      <x:c r="H340" s="23" t="n">
        <x:f>IF(G340="",0,LEN(G340&amp;"")-LEN(SUBSTITUTE(G340&amp;"",CHAR(10),""))+1)</x:f>
        <x:v>0</x:v>
      </x:c>
      <x:c r="I340" s="23" t="str"/>
      <x:c r="J340" s="23" t="str">
        <x:v>No developed-article link recorded</x:v>
      </x:c>
      <x:c r="K340" s="23" t="str">
        <x:v>Not inferred</x:v>
      </x:c>
      <x:c r="L340" s="34" t="str">
        <x:v>2e46b62edd61bf7623b4a3cdfe547facdcb8153873a26042dfd616e60e1e9873</x:v>
      </x:c>
      <x:c r="M340" s="32" t="n">
        <x:v>11211</x:v>
      </x:c>
      <x:c r="N340" s="23" t="str">
        <x:v>https://v5ma.github.io/theology-wiki/san-reader.html?page=two-prophets-in-eschatology</x:v>
      </x:c>
    </x:row>
    <x:row r="341" ht="56" customHeight="1">
      <x:c r="A341" s="23" t="str">
        <x:v>UN Chief Antonio Guterres exposed, along with UN Agencies UNRWA and UNIFIL, in criminal collusion with terrorists</x:v>
      </x:c>
      <x:c r="B341" s="23" t="str">
        <x:v>gpt2026dragon859_UN_Accountability_and_Oversight.txt</x:v>
      </x:c>
      <x:c r="C341" s="23" t="str">
        <x:v>2025-02-04</x:v>
      </x:c>
      <x:c r="D341" s="23" t="n">
        <x:v>10</x:v>
      </x:c>
      <x:c r="E341" s="23" t="str"/>
      <x:c r="F341" s="23" t="n">
        <x:f>IF(E341="",0,LEN(E341)-LEN(SUBSTITUTE(E341,CHAR(10),""))+1)</x:f>
        <x:v>0</x:v>
      </x:c>
      <x:c r="G341" s="23" t="str"/>
      <x:c r="H341" s="23" t="n">
        <x:f>IF(G341="",0,LEN(G341&amp;"")-LEN(SUBSTITUTE(G341&amp;"",CHAR(10),""))+1)</x:f>
        <x:v>0</x:v>
      </x:c>
      <x:c r="I341" s="23" t="str"/>
      <x:c r="J341" s="23" t="str">
        <x:v>No developed-article link recorded</x:v>
      </x:c>
      <x:c r="K341" s="23" t="str">
        <x:v>Not inferred</x:v>
      </x:c>
      <x:c r="L341" s="34" t="str">
        <x:v>f489531c9e0e272661b93d02f2c953543a55692bf8480bceb831a10597fe3eed</x:v>
      </x:c>
      <x:c r="M341" s="32" t="n">
        <x:v>6949</x:v>
      </x:c>
      <x:c r="N341" s="23" t="str">
        <x:v>https://v5ma.github.io/theology-wiki/san-reader.html?page=un-chief-antonio-guterres-exposed-along-with-un-agencies-unrwa-and-unifil-in-criminal-collusion-with-terrorists</x:v>
      </x:c>
    </x:row>
    <x:row r="342" ht="56" customHeight="1">
      <x:c r="A342" s="23" t="str">
        <x:v>Unknown Gospel details</x:v>
      </x:c>
      <x:c r="B342" s="23" t="str">
        <x:v>gpt2026dragon2702_Unknown_Gospel_details.txt</x:v>
      </x:c>
      <x:c r="C342" s="23" t="str">
        <x:v>2025-10-30</x:v>
      </x:c>
      <x:c r="D342" s="23" t="n">
        <x:v>3</x:v>
      </x:c>
      <x:c r="E342" s="23" t="str"/>
      <x:c r="F342" s="23" t="n">
        <x:f>IF(E342="",0,LEN(E342)-LEN(SUBSTITUTE(E342,CHAR(10),""))+1)</x:f>
        <x:v>0</x:v>
      </x:c>
      <x:c r="G342" s="23" t="str"/>
      <x:c r="H342" s="23" t="n">
        <x:f>IF(G342="",0,LEN(G342&amp;"")-LEN(SUBSTITUTE(G342&amp;"",CHAR(10),""))+1)</x:f>
        <x:v>0</x:v>
      </x:c>
      <x:c r="I342" s="23" t="str"/>
      <x:c r="J342" s="23" t="str">
        <x:v>No developed-article link recorded</x:v>
      </x:c>
      <x:c r="K342" s="23" t="str">
        <x:v>Not inferred</x:v>
      </x:c>
      <x:c r="L342" s="34" t="str">
        <x:v>18913fc91b23e908f78f145d627f2e9adc9d8bfc35cfe069f9408d35b35a8286</x:v>
      </x:c>
      <x:c r="M342" s="32" t="n">
        <x:v>9930</x:v>
      </x:c>
      <x:c r="N342" s="23" t="str">
        <x:v>https://v5ma.github.io/theology-wiki/san-reader.html?page=unknown-gospel-details</x:v>
      </x:c>
    </x:row>
    <x:row r="343" ht="56" customHeight="1">
      <x:c r="A343" s="23" t="str">
        <x:v>UNRWA Hamas Allegations Investigation</x:v>
      </x:c>
      <x:c r="B343" s="23" t="str">
        <x:v>gpt2026dragon858_UNRWA_Hamas_Allegations_Investigation.txt</x:v>
      </x:c>
      <x:c r="C343" s="23" t="str">
        <x:v>2025-02-04</x:v>
      </x:c>
      <x:c r="D343" s="23" t="n">
        <x:v>7</x:v>
      </x:c>
      <x:c r="E343" s="23" t="str"/>
      <x:c r="F343" s="23" t="n">
        <x:f>IF(E343="",0,LEN(E343)-LEN(SUBSTITUTE(E343,CHAR(10),""))+1)</x:f>
        <x:v>0</x:v>
      </x:c>
      <x:c r="G343" s="23" t="str"/>
      <x:c r="H343" s="23" t="n">
        <x:f>IF(G343="",0,LEN(G343&amp;"")-LEN(SUBSTITUTE(G343&amp;"",CHAR(10),""))+1)</x:f>
        <x:v>0</x:v>
      </x:c>
      <x:c r="I343" s="23" t="str"/>
      <x:c r="J343" s="23" t="str">
        <x:v>No developed-article link recorded</x:v>
      </x:c>
      <x:c r="K343" s="23" t="str">
        <x:v>Not inferred</x:v>
      </x:c>
      <x:c r="L343" s="34" t="str">
        <x:v>201cd8e76ccd19ef5c8527de5f5e46888b69bc1db384cd73c9824b432c3c8218</x:v>
      </x:c>
      <x:c r="M343" s="32" t="n">
        <x:v>13210</x:v>
      </x:c>
      <x:c r="N343" s="23" t="str">
        <x:v>https://v5ma.github.io/theology-wiki/san-reader.html?page=unrwa-hamas-allegations-investigation</x:v>
      </x:c>
    </x:row>
    <x:row r="344" ht="56" customHeight="1">
      <x:c r="A344" s="23" t="str">
        <x:v>UNRWA Hamas Allegations Summary</x:v>
      </x:c>
      <x:c r="B344" s="23" t="str">
        <x:v>gpt2026dragon860_UNRWA_Hamas_Allegations_Summary.txt</x:v>
      </x:c>
      <x:c r="C344" s="23" t="str">
        <x:v>2025-02-04</x:v>
      </x:c>
      <x:c r="D344" s="23" t="n">
        <x:v>6</x:v>
      </x:c>
      <x:c r="E344" s="23" t="str"/>
      <x:c r="F344" s="23" t="n">
        <x:f>IF(E344="",0,LEN(E344)-LEN(SUBSTITUTE(E344,CHAR(10),""))+1)</x:f>
        <x:v>0</x:v>
      </x:c>
      <x:c r="G344" s="23" t="str"/>
      <x:c r="H344" s="23" t="n">
        <x:f>IF(G344="",0,LEN(G344&amp;"")-LEN(SUBSTITUTE(G344&amp;"",CHAR(10),""))+1)</x:f>
        <x:v>0</x:v>
      </x:c>
      <x:c r="I344" s="23" t="str"/>
      <x:c r="J344" s="23" t="str">
        <x:v>No developed-article link recorded</x:v>
      </x:c>
      <x:c r="K344" s="23" t="str">
        <x:v>Not inferred</x:v>
      </x:c>
      <x:c r="L344" s="34" t="str">
        <x:v>fb207311de825bdfbaf716d95be9d076f36d109513d57a466d92939871ee40db</x:v>
      </x:c>
      <x:c r="M344" s="32" t="n">
        <x:v>28944</x:v>
      </x:c>
      <x:c r="N344" s="23" t="str">
        <x:v>https://v5ma.github.io/theology-wiki/san-reader.html?page=unrwa-hamas-allegations-summary</x:v>
      </x:c>
    </x:row>
    <x:row r="345" ht="56" customHeight="1">
      <x:c r="A345" s="23" t="str">
        <x:v>US Allies Military Rebuild</x:v>
      </x:c>
      <x:c r="B345" s="23" t="str">
        <x:v>gpt2026dragon1234_US_Allies_Military_Rebuild.txt</x:v>
      </x:c>
      <x:c r="C345" s="23" t="str">
        <x:v>2025-03-28</x:v>
      </x:c>
      <x:c r="D345" s="23" t="n">
        <x:v>2</x:v>
      </x:c>
      <x:c r="E345" s="23" t="str"/>
      <x:c r="F345" s="23" t="n">
        <x:f>IF(E345="",0,LEN(E345)-LEN(SUBSTITUTE(E345,CHAR(10),""))+1)</x:f>
        <x:v>0</x:v>
      </x:c>
      <x:c r="G345" s="23" t="str"/>
      <x:c r="H345" s="23" t="n">
        <x:f>IF(G345="",0,LEN(G345&amp;"")-LEN(SUBSTITUTE(G345&amp;"",CHAR(10),""))+1)</x:f>
        <x:v>0</x:v>
      </x:c>
      <x:c r="I345" s="23" t="str"/>
      <x:c r="J345" s="23" t="str">
        <x:v>No developed-article link recorded</x:v>
      </x:c>
      <x:c r="K345" s="23" t="str">
        <x:v>Not inferred</x:v>
      </x:c>
      <x:c r="L345" s="34" t="str">
        <x:v>a2f1f242ba1d5242e9e5aed755f9551fa13c2cfdaaba99e7fe1a1b4021a49fa6</x:v>
      </x:c>
      <x:c r="M345" s="32" t="n">
        <x:v>6149</x:v>
      </x:c>
      <x:c r="N345" s="23" t="str">
        <x:v>https://v5ma.github.io/theology-wiki/san-reader.html?page=us-allies-military-rebuild</x:v>
      </x:c>
    </x:row>
    <x:row r="346" ht="56" customHeight="1">
      <x:c r="A346" s="23" t="str">
        <x:v>Vegas - Alien Think Rebels</x:v>
      </x:c>
      <x:c r="B346" s="23" t="str">
        <x:v>gpt2026dragon641_Vegas_-_Alien_Think_Rebels.txt</x:v>
      </x:c>
      <x:c r="C346" s="23" t="str">
        <x:v>2025-01-10</x:v>
      </x:c>
      <x:c r="D346" s="23" t="n">
        <x:v>19</x:v>
      </x:c>
      <x:c r="E346" s="23" t="str"/>
      <x:c r="F346" s="23" t="n">
        <x:f>IF(E346="",0,LEN(E346)-LEN(SUBSTITUTE(E346,CHAR(10),""))+1)</x:f>
        <x:v>0</x:v>
      </x:c>
      <x:c r="G346" s="23" t="str"/>
      <x:c r="H346" s="23" t="n">
        <x:f>IF(G346="",0,LEN(G346&amp;"")-LEN(SUBSTITUTE(G346&amp;"",CHAR(10),""))+1)</x:f>
        <x:v>0</x:v>
      </x:c>
      <x:c r="I346" s="23" t="str"/>
      <x:c r="J346" s="23" t="str">
        <x:v>No developed-article link recorded</x:v>
      </x:c>
      <x:c r="K346" s="23" t="str">
        <x:v>Not inferred</x:v>
      </x:c>
      <x:c r="L346" s="34" t="str">
        <x:v>717ebf6a8790f1774204400a4359a926a9377497ca592a3c7abb78088034d4f7</x:v>
      </x:c>
      <x:c r="M346" s="32" t="n">
        <x:v>24164</x:v>
      </x:c>
      <x:c r="N346" s="23" t="str">
        <x:v>https://v5ma.github.io/theology-wiki/san-reader.html?page=vegas-alien-think-rebels</x:v>
      </x:c>
    </x:row>
    <x:row r="347" ht="56" customHeight="1">
      <x:c r="A347" s="23" t="str">
        <x:v>Vessel and DMT Integration</x:v>
      </x:c>
      <x:c r="B347" s="23" t="str">
        <x:v>gpt2026dragon487_Vessel_and_DMT_Integration.txt</x:v>
      </x:c>
      <x:c r="C347" s="23" t="str">
        <x:v>2024-12-02</x:v>
      </x:c>
      <x:c r="D347" s="23" t="n">
        <x:v>3</x:v>
      </x:c>
      <x:c r="E347" s="23" t="str"/>
      <x:c r="F347" s="23" t="n">
        <x:f>IF(E347="",0,LEN(E347)-LEN(SUBSTITUTE(E347,CHAR(10),""))+1)</x:f>
        <x:v>0</x:v>
      </x:c>
      <x:c r="G347" s="23" t="str"/>
      <x:c r="H347" s="23" t="n">
        <x:f>IF(G347="",0,LEN(G347&amp;"")-LEN(SUBSTITUTE(G347&amp;"",CHAR(10),""))+1)</x:f>
        <x:v>0</x:v>
      </x:c>
      <x:c r="I347" s="23" t="str"/>
      <x:c r="J347" s="23" t="str">
        <x:v>No developed-article link recorded</x:v>
      </x:c>
      <x:c r="K347" s="23" t="str">
        <x:v>Not inferred</x:v>
      </x:c>
      <x:c r="L347" s="34" t="str">
        <x:v>6459ebadbd2c56b8d5d916c18991b70ec11bc22c5b111e9d7d5f278cc30d583e</x:v>
      </x:c>
      <x:c r="M347" s="32" t="n">
        <x:v>6422</x:v>
      </x:c>
      <x:c r="N347" s="23" t="str">
        <x:v>https://v5ma.github.io/theology-wiki/san-reader.html?page=vessel-and-dmt-integration</x:v>
      </x:c>
    </x:row>
    <x:row r="348" ht="56" customHeight="1">
      <x:c r="A348" s="23" t="str">
        <x:v>Virgin Birth Debate</x:v>
      </x:c>
      <x:c r="B348" s="23" t="str">
        <x:v>gpt2026dragon1975_Virgin_Birth_Debate.txt</x:v>
      </x:c>
      <x:c r="C348" s="23" t="str">
        <x:v>2025-07-27</x:v>
      </x:c>
      <x:c r="D348" s="23" t="n">
        <x:v>6</x:v>
      </x:c>
      <x:c r="E348" s="23" t="str"/>
      <x:c r="F348" s="23" t="n">
        <x:f>IF(E348="",0,LEN(E348)-LEN(SUBSTITUTE(E348,CHAR(10),""))+1)</x:f>
        <x:v>0</x:v>
      </x:c>
      <x:c r="G348" s="23" t="str"/>
      <x:c r="H348" s="23" t="n">
        <x:f>IF(G348="",0,LEN(G348&amp;"")-LEN(SUBSTITUTE(G348&amp;"",CHAR(10),""))+1)</x:f>
        <x:v>0</x:v>
      </x:c>
      <x:c r="I348" s="23" t="str"/>
      <x:c r="J348" s="23" t="str">
        <x:v>No developed-article link recorded</x:v>
      </x:c>
      <x:c r="K348" s="23" t="str">
        <x:v>Not inferred</x:v>
      </x:c>
      <x:c r="L348" s="34" t="str">
        <x:v>70cebec20e97d58db43b73e8e98b7cee3f83aaa76eb1dbaf9862432a88892c01</x:v>
      </x:c>
      <x:c r="M348" s="32" t="n">
        <x:v>9259</x:v>
      </x:c>
      <x:c r="N348" s="23" t="str">
        <x:v>https://v5ma.github.io/theology-wiki/san-reader.html?page=virgin-birth-debate</x:v>
      </x:c>
    </x:row>
    <x:row r="349" ht="56" customHeight="1">
      <x:c r="A349" s="23" t="str">
        <x:v>Voice in the Wilderness</x:v>
      </x:c>
      <x:c r="B349" s="23" t="str">
        <x:v>gpt2026dragon1704_Voice_in_the_Wilderness.txt</x:v>
      </x:c>
      <x:c r="C349" s="23" t="str">
        <x:v>2025-06-18</x:v>
      </x:c>
      <x:c r="D349" s="23" t="n">
        <x:v>8</x:v>
      </x:c>
      <x:c r="E349" s="23" t="str"/>
      <x:c r="F349" s="23" t="n">
        <x:f>IF(E349="",0,LEN(E349)-LEN(SUBSTITUTE(E349,CHAR(10),""))+1)</x:f>
        <x:v>0</x:v>
      </x:c>
      <x:c r="G349" s="23" t="str"/>
      <x:c r="H349" s="23" t="n">
        <x:f>IF(G349="",0,LEN(G349&amp;"")-LEN(SUBSTITUTE(G349&amp;"",CHAR(10),""))+1)</x:f>
        <x:v>0</x:v>
      </x:c>
      <x:c r="I349" s="23" t="str"/>
      <x:c r="J349" s="23" t="str">
        <x:v>No developed-article link recorded</x:v>
      </x:c>
      <x:c r="K349" s="23" t="str">
        <x:v>Not inferred</x:v>
      </x:c>
      <x:c r="L349" s="34" t="str">
        <x:v>b6464d8deab9c81b19b5cc3b2a69d3315c2a585200f6e958c4713a93bcb89171</x:v>
      </x:c>
      <x:c r="M349" s="32" t="n">
        <x:v>5815</x:v>
      </x:c>
      <x:c r="N349" s="23" t="str">
        <x:v>https://v5ma.github.io/theology-wiki/san-reader.html?page=voice-in-the-wilderness</x:v>
      </x:c>
    </x:row>
    <x:row r="350" ht="56" customHeight="1">
      <x:c r="A350" s="23" t="str">
        <x:v>VTT AI Plagiarism Analysis</x:v>
      </x:c>
      <x:c r="B350" s="23" t="str">
        <x:v>gpt2026dragon1323_VTT_AI_Plagiarism_Analysis.txt</x:v>
      </x:c>
      <x:c r="C350" s="23" t="str">
        <x:v>2025-04-19</x:v>
      </x:c>
      <x:c r="D350" s="23" t="n">
        <x:v>14</x:v>
      </x:c>
      <x:c r="E350" s="23" t="str"/>
      <x:c r="F350" s="23" t="n">
        <x:f>IF(E350="",0,LEN(E350)-LEN(SUBSTITUTE(E350,CHAR(10),""))+1)</x:f>
        <x:v>0</x:v>
      </x:c>
      <x:c r="G350" s="23" t="str"/>
      <x:c r="H350" s="23" t="n">
        <x:f>IF(G350="",0,LEN(G350&amp;"")-LEN(SUBSTITUTE(G350&amp;"",CHAR(10),""))+1)</x:f>
        <x:v>0</x:v>
      </x:c>
      <x:c r="I350" s="23" t="str"/>
      <x:c r="J350" s="23" t="str">
        <x:v>No developed-article link recorded</x:v>
      </x:c>
      <x:c r="K350" s="23" t="str">
        <x:v>Not inferred</x:v>
      </x:c>
      <x:c r="L350" s="34" t="str">
        <x:v>902ed41beb81c3fadc2f8f6c9de9d9287dfeb02332ae28cb7a503af187793c2e</x:v>
      </x:c>
      <x:c r="M350" s="32" t="n">
        <x:v>69403</x:v>
      </x:c>
      <x:c r="N350" s="23" t="str">
        <x:v>https://v5ma.github.io/theology-wiki/san-reader.html?page=vtt-ai-plagiarism-analysis</x:v>
      </x:c>
    </x:row>
    <x:row r="351" ht="56" customHeight="1">
      <x:c r="A351" s="23" t="str">
        <x:v>What is Midian</x:v>
      </x:c>
      <x:c r="B351" s="23" t="str">
        <x:v>gpt2026dragon1069_What_is_Midian.txt</x:v>
      </x:c>
      <x:c r="C351" s="23" t="str">
        <x:v>2025-03-06</x:v>
      </x:c>
      <x:c r="D351" s="23" t="n">
        <x:v>3</x:v>
      </x:c>
      <x:c r="E351" s="23" t="str">
        <x:v>kenite-hypothesis-and-yahweh-origins</x:v>
      </x:c>
      <x:c r="F351" s="23" t="n">
        <x:f>IF(E351="",0,LEN(E351)-LEN(SUBSTITUTE(E351,CHAR(10),""))+1)</x:f>
        <x:v>1</x:v>
      </x:c>
      <x:c r="G351" s="23" t="str"/>
      <x:c r="H351" s="23" t="n">
        <x:f>IF(G351="",0,LEN(G351&amp;"")-LEN(SUBSTITUTE(G351&amp;"",CHAR(10),""))+1)</x:f>
        <x:v>0</x:v>
      </x:c>
      <x:c r="I351" s="23" t="str">
        <x:v>names</x:v>
      </x:c>
      <x:c r="J351" s="23" t="str">
        <x:v>Linked to developed article</x:v>
      </x:c>
      <x:c r="K351" s="23" t="str">
        <x:v>Not inferred</x:v>
      </x:c>
      <x:c r="L351" s="34" t="str">
        <x:v>7b39d156ff9e619f8d71ef657fc238c60225fc65e1a0caea9ad64f7551862ebf</x:v>
      </x:c>
      <x:c r="M351" s="32" t="n">
        <x:v>6374</x:v>
      </x:c>
      <x:c r="N351" s="23" t="str">
        <x:v>https://v5ma.github.io/theology-wiki/san-reader.html?page=what-is-midian</x:v>
      </x:c>
    </x:row>
    <x:row r="352" ht="56" customHeight="1">
      <x:c r="A352" s="23" t="str">
        <x:v>Who was Josepheous</x:v>
      </x:c>
      <x:c r="B352" s="23" t="str">
        <x:v>gpt2026dragon1904_Who_was_Josepheous.txt</x:v>
      </x:c>
      <x:c r="C352" s="23" t="str">
        <x:v>2025-07-15</x:v>
      </x:c>
      <x:c r="D352" s="23" t="n">
        <x:v>42</x:v>
      </x:c>
      <x:c r="E352" s="23" t="str">
        <x:v>tor-thomas-and-gnostic-transmission</x:v>
      </x:c>
      <x:c r="F352" s="23" t="n">
        <x:f>IF(E352="",0,LEN(E352)-LEN(SUBSTITUTE(E352,CHAR(10),""))+1)</x:f>
        <x:v>1</x:v>
      </x:c>
      <x:c r="G352" s="23" t="str">
        <x:v>Turn 33</x:v>
      </x:c>
      <x:c r="H352" s="23" t="n">
        <x:f>IF(G352="",0,LEN(G352&amp;"")-LEN(SUBSTITUTE(G352&amp;"",CHAR(10),""))+1)</x:f>
        <x:v>1</x:v>
      </x:c>
      <x:c r="I352" s="23" t="str">
        <x:v>thomas</x:v>
      </x:c>
      <x:c r="J352" s="23" t="str">
        <x:v>Linked to developed article</x:v>
      </x:c>
      <x:c r="K352" s="23" t="str">
        <x:v>Not inferred</x:v>
      </x:c>
      <x:c r="L352" s="34" t="str">
        <x:v>27577e46e020502069dbaec1c828e146241a193002d5acd3f6e15708267e15c3</x:v>
      </x:c>
      <x:c r="M352" s="32" t="n">
        <x:v>76112</x:v>
      </x:c>
      <x:c r="N352" s="23" t="str">
        <x:v>https://v5ma.github.io/theology-wiki/san-reader.html?page=who-was-josepheous</x:v>
      </x:c>
    </x:row>
    <x:row r="353" ht="56" customHeight="1">
      <x:c r="A353" s="23" t="str">
        <x:v>Yahweh and Asherah's Relationship</x:v>
      </x:c>
      <x:c r="B353" s="23" t="str">
        <x:v>gpt2026dragon1033_Yahweh_and_Asherah_s_Relationship.txt</x:v>
      </x:c>
      <x:c r="C353" s="23" t="str">
        <x:v>2025-03-02</x:v>
      </x:c>
      <x:c r="D353" s="23" t="n">
        <x:v>4</x:v>
      </x:c>
      <x:c r="E353" s="23" t="str">
        <x:v>el-in-ancient-egypt</x:v>
      </x:c>
      <x:c r="F353" s="23" t="n">
        <x:f>IF(E353="",0,LEN(E353)-LEN(SUBSTITUTE(E353,CHAR(10),""))+1)</x:f>
        <x:v>1</x:v>
      </x:c>
      <x:c r="G353" s="23" t="str"/>
      <x:c r="H353" s="23" t="n">
        <x:f>IF(G353="",0,LEN(G353&amp;"")-LEN(SUBSTITUTE(G353&amp;"",CHAR(10),""))+1)</x:f>
        <x:v>0</x:v>
      </x:c>
      <x:c r="I353" s="23" t="str">
        <x:v>names</x:v>
      </x:c>
      <x:c r="J353" s="23" t="str">
        <x:v>Linked to developed article</x:v>
      </x:c>
      <x:c r="K353" s="23" t="str">
        <x:v>Not inferred</x:v>
      </x:c>
      <x:c r="L353" s="34" t="str">
        <x:v>0c4fd3d526e696f2dd490391b44aba2f0f8af5bad45c521765243216d9753443</x:v>
      </x:c>
      <x:c r="M353" s="32" t="n">
        <x:v>5748</x:v>
      </x:c>
      <x:c r="N353" s="23" t="str">
        <x:v>https://v5ma.github.io/theology-wiki/san-reader.html?page=yahweh-and-asherah-s-relationship</x:v>
      </x:c>
    </x:row>
    <x:row r="354" ht="56" customHeight="1">
      <x:c r="A354" s="23" t="str">
        <x:v>Yahweh Annunaki and Flood</x:v>
      </x:c>
      <x:c r="B354" s="23" t="str">
        <x:v>gpt2026dragon1254_Yahweh_Annunaki_and_Flood.txt</x:v>
      </x:c>
      <x:c r="C354" s="23" t="str">
        <x:v>2025-04-02</x:v>
      </x:c>
      <x:c r="D354" s="23" t="n">
        <x:v>6</x:v>
      </x:c>
      <x:c r="E354" s="23" t="str"/>
      <x:c r="F354" s="23" t="n">
        <x:f>IF(E354="",0,LEN(E354)-LEN(SUBSTITUTE(E354,CHAR(10),""))+1)</x:f>
        <x:v>0</x:v>
      </x:c>
      <x:c r="G354" s="23" t="str"/>
      <x:c r="H354" s="23" t="n">
        <x:f>IF(G354="",0,LEN(G354&amp;"")-LEN(SUBSTITUTE(G354&amp;"",CHAR(10),""))+1)</x:f>
        <x:v>0</x:v>
      </x:c>
      <x:c r="I354" s="23" t="str"/>
      <x:c r="J354" s="23" t="str">
        <x:v>No developed-article link recorded</x:v>
      </x:c>
      <x:c r="K354" s="23" t="str">
        <x:v>Not inferred</x:v>
      </x:c>
      <x:c r="L354" s="34" t="str">
        <x:v>ce50a86c175f817333aa68ca608dd4f29f16a9c44bc82ff5eadc0b1c34a07e4f</x:v>
      </x:c>
      <x:c r="M354" s="32" t="n">
        <x:v>13316</x:v>
      </x:c>
      <x:c r="N354" s="23" t="str">
        <x:v>https://v5ma.github.io/theology-wiki/san-reader.html?page=yahweh-annunaki-and-flood</x:v>
      </x:c>
    </x:row>
    <x:row r="355" ht="56" customHeight="1">
      <x:c r="A355" s="23" t="str">
        <x:v>Yahweh El or Enki</x:v>
      </x:c>
      <x:c r="B355" s="23" t="str">
        <x:v>gpt2026dragon2713_Yahweh_El_or_Enki.txt</x:v>
      </x:c>
      <x:c r="C355" s="23" t="str">
        <x:v>2025-10-31</x:v>
      </x:c>
      <x:c r="D355" s="23" t="n">
        <x:v>13</x:v>
      </x:c>
      <x:c r="E355" s="23" t="str"/>
      <x:c r="F355" s="23" t="n">
        <x:f>IF(E355="",0,LEN(E355)-LEN(SUBSTITUTE(E355,CHAR(10),""))+1)</x:f>
        <x:v>0</x:v>
      </x:c>
      <x:c r="G355" s="23" t="str"/>
      <x:c r="H355" s="23" t="n">
        <x:f>IF(G355="",0,LEN(G355&amp;"")-LEN(SUBSTITUTE(G355&amp;"",CHAR(10),""))+1)</x:f>
        <x:v>0</x:v>
      </x:c>
      <x:c r="I355" s="23" t="str"/>
      <x:c r="J355" s="23" t="str">
        <x:v>No developed-article link recorded</x:v>
      </x:c>
      <x:c r="K355" s="23" t="str">
        <x:v>Not inferred</x:v>
      </x:c>
      <x:c r="L355" s="34" t="str">
        <x:v>5b033a8a45c553ec94a5a61de98040a8fb5219c5d18c8e023b859cdb70eda7b2</x:v>
      </x:c>
      <x:c r="M355" s="32" t="n">
        <x:v>17524</x:v>
      </x:c>
      <x:c r="N355" s="23" t="str">
        <x:v>https://v5ma.github.io/theology-wiki/san-reader.html?page=yahweh-el-or-enki</x:v>
      </x:c>
    </x:row>
    <x:row r="356" ht="56" customHeight="1">
      <x:c r="A356" s="23" t="str">
        <x:v>Yahwey and the Annunaki</x:v>
      </x:c>
      <x:c r="B356" s="23" t="str">
        <x:v>gpt2026dragon1252_Yahwey_and_the_Annunaki.txt</x:v>
      </x:c>
      <x:c r="C356" s="23" t="str">
        <x:v>2025-04-02</x:v>
      </x:c>
      <x:c r="D356" s="23" t="n">
        <x:v>4</x:v>
      </x:c>
      <x:c r="E356" s="23" t="str"/>
      <x:c r="F356" s="23" t="n">
        <x:f>IF(E356="",0,LEN(E356)-LEN(SUBSTITUTE(E356,CHAR(10),""))+1)</x:f>
        <x:v>0</x:v>
      </x:c>
      <x:c r="G356" s="23" t="str"/>
      <x:c r="H356" s="23" t="n">
        <x:f>IF(G356="",0,LEN(G356&amp;"")-LEN(SUBSTITUTE(G356&amp;"",CHAR(10),""))+1)</x:f>
        <x:v>0</x:v>
      </x:c>
      <x:c r="I356" s="23" t="str"/>
      <x:c r="J356" s="23" t="str">
        <x:v>No developed-article link recorded</x:v>
      </x:c>
      <x:c r="K356" s="23" t="str">
        <x:v>Not inferred</x:v>
      </x:c>
      <x:c r="L356" s="34" t="str">
        <x:v>05494fb17ce5c8e95495a3e10560123ecf4d863a2b3123415ffe739c9b997450</x:v>
      </x:c>
      <x:c r="M356" s="32" t="n">
        <x:v>2366</x:v>
      </x:c>
      <x:c r="N356" s="23" t="str">
        <x:v>https://v5ma.github.io/theology-wiki/san-reader.html?page=yahwey-and-the-annunaki</x:v>
      </x:c>
    </x:row>
    <x:row r="357" ht="56" customHeight="1">
      <x:c r="A357" s="23" t="str">
        <x:v>Yahwey and the Sky People</x:v>
      </x:c>
      <x:c r="B357" s="23" t="str">
        <x:v>gpt2026dragon1251_Yahwey_and_the_Sky_People.txt</x:v>
      </x:c>
      <x:c r="C357" s="23" t="str">
        <x:v>2025-04-02</x:v>
      </x:c>
      <x:c r="D357" s="23" t="n">
        <x:v>11</x:v>
      </x:c>
      <x:c r="E357" s="23" t="str"/>
      <x:c r="F357" s="23" t="n">
        <x:f>IF(E357="",0,LEN(E357)-LEN(SUBSTITUTE(E357,CHAR(10),""))+1)</x:f>
        <x:v>0</x:v>
      </x:c>
      <x:c r="G357" s="23" t="str"/>
      <x:c r="H357" s="23" t="n">
        <x:f>IF(G357="",0,LEN(G357&amp;"")-LEN(SUBSTITUTE(G357&amp;"",CHAR(10),""))+1)</x:f>
        <x:v>0</x:v>
      </x:c>
      <x:c r="I357" s="23" t="str"/>
      <x:c r="J357" s="23" t="str">
        <x:v>No developed-article link recorded</x:v>
      </x:c>
      <x:c r="K357" s="23" t="str">
        <x:v>Not inferred</x:v>
      </x:c>
      <x:c r="L357" s="34" t="str">
        <x:v>bb51bc80425bf6a0e3e1d73997a74213ce17e9798763557debed396c8d74bb06</x:v>
      </x:c>
      <x:c r="M357" s="32" t="n">
        <x:v>6719</x:v>
      </x:c>
      <x:c r="N357" s="23" t="str">
        <x:v>https://v5ma.github.io/theology-wiki/san-reader.html?page=yahwey-and-the-sky-people</x:v>
      </x:c>
    </x:row>
    <x:row r="358" ht="56" customHeight="1">
      <x:c r="A358" s="23" t="str">
        <x:v>Ye Are Gods Quote</x:v>
      </x:c>
      <x:c r="B358" s="23" t="str">
        <x:v>gpt2026dragon1610_Ye_Are_Gods_Quote.txt</x:v>
      </x:c>
      <x:c r="C358" s="23" t="str">
        <x:v>2025-06-02</x:v>
      </x:c>
      <x:c r="D358" s="23" t="n">
        <x:v>4</x:v>
      </x:c>
      <x:c r="E358" s="23" t="str"/>
      <x:c r="F358" s="23" t="n">
        <x:f>IF(E358="",0,LEN(E358)-LEN(SUBSTITUTE(E358,CHAR(10),""))+1)</x:f>
        <x:v>0</x:v>
      </x:c>
      <x:c r="G358" s="23" t="str"/>
      <x:c r="H358" s="23" t="n">
        <x:f>IF(G358="",0,LEN(G358&amp;"")-LEN(SUBSTITUTE(G358&amp;"",CHAR(10),""))+1)</x:f>
        <x:v>0</x:v>
      </x:c>
      <x:c r="I358" s="23" t="str"/>
      <x:c r="J358" s="23" t="str">
        <x:v>No developed-article link recorded</x:v>
      </x:c>
      <x:c r="K358" s="23" t="str">
        <x:v>Not inferred</x:v>
      </x:c>
      <x:c r="L358" s="34" t="str">
        <x:v>19d1f655af778a661727ba87164963a300cec73183526c948c47b5c24a060e64</x:v>
      </x:c>
      <x:c r="M358" s="32" t="n">
        <x:v>2422</x:v>
      </x:c>
      <x:c r="N358" s="23" t="str">
        <x:v>https://v5ma.github.io/theology-wiki/san-reader.html?page=ye-are-gods-quote</x:v>
      </x:c>
    </x:row>
    <x:row r="359" ht="56" customHeight="1">
      <x:c r="A359" s="23" t="str">
        <x:v>Zecharia Sitchin Overview</x:v>
      </x:c>
      <x:c r="B359" s="23" t="str">
        <x:v>gpt2026dragon1253_Zecharia_Sitchin_Overview.txt</x:v>
      </x:c>
      <x:c r="C359" s="23" t="str">
        <x:v>2025-04-02</x:v>
      </x:c>
      <x:c r="D359" s="23" t="n">
        <x:v>6</x:v>
      </x:c>
      <x:c r="E359" s="23" t="str"/>
      <x:c r="F359" s="23" t="n">
        <x:f>IF(E359="",0,LEN(E359)-LEN(SUBSTITUTE(E359,CHAR(10),""))+1)</x:f>
        <x:v>0</x:v>
      </x:c>
      <x:c r="G359" s="23" t="str"/>
      <x:c r="H359" s="23" t="n">
        <x:f>IF(G359="",0,LEN(G359&amp;"")-LEN(SUBSTITUTE(G359&amp;"",CHAR(10),""))+1)</x:f>
        <x:v>0</x:v>
      </x:c>
      <x:c r="I359" s="23" t="str"/>
      <x:c r="J359" s="23" t="str">
        <x:v>No developed-article link recorded</x:v>
      </x:c>
      <x:c r="K359" s="23" t="str">
        <x:v>Not inferred</x:v>
      </x:c>
      <x:c r="L359" s="34" t="str">
        <x:v>19f0367276cee151bfd54c046cab5b54b51d906e41762d179b07c58e4abf9ec5</x:v>
      </x:c>
      <x:c r="M359" s="32" t="n">
        <x:v>6306</x:v>
      </x:c>
      <x:c r="N359" s="23" t="str">
        <x:v>https://v5ma.github.io/theology-wiki/san-reader.html?page=zecharia-sitchin-overview</x:v>
      </x:c>
    </x:row>
    <x:row r="360" ht="56" customHeight="1">
      <x:c r="A360" s="23" t="str">
        <x:v>Zeus Antichrist Connection</x:v>
      </x:c>
      <x:c r="B360" s="23" t="str">
        <x:v>gpt2026dragon1239_Zeus_Antichrist_Connection.txt</x:v>
      </x:c>
      <x:c r="C360" s="23" t="str">
        <x:v>2025-03-29</x:v>
      </x:c>
      <x:c r="D360" s="23" t="n">
        <x:v>24</x:v>
      </x:c>
      <x:c r="E360" s="23" t="str"/>
      <x:c r="F360" s="23" t="n">
        <x:f>IF(E360="",0,LEN(E360)-LEN(SUBSTITUTE(E360,CHAR(10),""))+1)</x:f>
        <x:v>0</x:v>
      </x:c>
      <x:c r="G360" s="23" t="str"/>
      <x:c r="H360" s="23" t="n">
        <x:f>IF(G360="",0,LEN(G360&amp;"")-LEN(SUBSTITUTE(G360&amp;"",CHAR(10),""))+1)</x:f>
        <x:v>0</x:v>
      </x:c>
      <x:c r="I360" s="23" t="str"/>
      <x:c r="J360" s="23" t="str">
        <x:v>No developed-article link recorded</x:v>
      </x:c>
      <x:c r="K360" s="23" t="str">
        <x:v>Not inferred</x:v>
      </x:c>
      <x:c r="L360" s="34" t="str">
        <x:v>d9afdcf43a9c744ae6dd84867404d893b39167d2aad83773ecf57084058bd3cb</x:v>
      </x:c>
      <x:c r="M360" s="32" t="n">
        <x:v>56633</x:v>
      </x:c>
      <x:c r="N360" s="23" t="str">
        <x:v>https://v5ma.github.io/theology-wiki/san-reader.html?page=zeus-antichrist-connection</x:v>
      </x:c>
    </x:row>
  </x:sheetData>
  <x:mergeCells>
    <x:mergeCell ref="A1:N1"/>
    <x:mergeCell ref="A2:N3"/>
    <x:mergeCell ref="A5:N5"/>
  </x:mergeCells>
  <x:pageMargins left="0.7" right="0.7" top="0.75" bottom="0.75" header="0.3" footer="0.3"/>
  <x:tableParts count="1">
    <x:tablePart xmlns:r="http://schemas.openxmlformats.org/officeDocument/2006/relationships" r:id="R6b02113a87af4b14"/>
  </x:tableParts>
</x:worksheet>
</file>

<file path=xl/worksheets/sheet6.xml><?xml version="1.0" encoding="utf-8"?>
<x:worksheet xmlns:x="http://schemas.openxmlformats.org/spreadsheetml/2006/main">
  <x:sheetFormatPr defaultRowHeight="15"/>
  <x:cols>
    <x:col min="1" max="1" width="30" hidden="0" customWidth="1"/>
    <x:col min="2" max="2" width="48" hidden="0" customWidth="1"/>
    <x:col min="3" max="3" width="46" hidden="0" customWidth="1"/>
    <x:col min="4" max="4" width="54" hidden="0" customWidth="1"/>
    <x:col min="5" max="5" width="56" hidden="0" customWidth="1"/>
    <x:col min="6" max="6" width="55" hidden="0" customWidth="1"/>
    <x:col min="7" max="7" width="62" hidden="0" customWidth="1"/>
    <x:col min="8" max="8" width="72" hidden="0" customWidth="1"/>
  </x:cols>
  <x:sheetData>
    <x:row r="1" ht="36" customHeight="1">
      <x:c r="A1" s="5" t="str">
        <x:v>Theology | First Melchizedek comparison</x:v>
      </x:c>
      <x:c r="B1" s="5"/>
      <x:c r="C1" s="5"/>
      <x:c r="D1" s="5"/>
      <x:c r="E1" s="5"/>
      <x:c r="F1" s="5"/>
      <x:c r="G1" s="5"/>
      <x:c r="H1" s="5"/>
    </x:row>
    <x:row r="2" ht="22" customHeight="1">
      <x:c r="A2" s="10" t="str">
        <x:v>These passage locators and access notes support a first comparison, not proof of individual identity or a completed institutional-transmission study.</x:v>
      </x:c>
      <x:c r="B2" s="10"/>
      <x:c r="C2" s="10"/>
      <x:c r="D2" s="10"/>
      <x:c r="E2" s="10"/>
      <x:c r="F2" s="10"/>
      <x:c r="G2" s="10"/>
      <x:c r="H2" s="10"/>
    </x:row>
    <x:row r="3" ht="22" customHeight="1">
      <x:c r="A3" s="10"/>
      <x:c r="B3" s="10"/>
      <x:c r="C3" s="10"/>
      <x:c r="D3" s="10"/>
      <x:c r="E3" s="10"/>
      <x:c r="F3" s="10"/>
      <x:c r="G3" s="10"/>
      <x:c r="H3" s="10"/>
    </x:row>
    <x:row r="4">
      <x:c r="A4" s="2"/>
      <x:c r="B4" s="2"/>
      <x:c r="C4" s="2"/>
      <x:c r="D4" s="2"/>
      <x:c r="E4" s="2"/>
      <x:c r="F4" s="2"/>
      <x:c r="G4" s="2"/>
      <x:c r="H4" s="2"/>
    </x:row>
    <x:row r="5" ht="20" customHeight="1">
      <x:c r="A5" s="14" t="str">
        <x:v>Snapshot 2026-09-05 | 2026.09.05-atlas-1 | Shared plan: theology-wiki/editorial/roadmap.json</x:v>
      </x:c>
      <x:c r="B5" s="14"/>
      <x:c r="C5" s="14"/>
      <x:c r="D5" s="14"/>
      <x:c r="E5" s="14"/>
      <x:c r="F5" s="14"/>
      <x:c r="G5" s="14"/>
      <x:c r="H5" s="14"/>
    </x:row>
    <x:row r="6" ht="32" customHeight="1">
      <x:c r="A6" s="18" t="str">
        <x:v>Witness / text</x:v>
      </x:c>
      <x:c r="B6" s="18" t="str">
        <x:v>Passage locator</x:v>
      </x:c>
      <x:c r="C6" s="18" t="str">
        <x:v>Role in this reading</x:v>
      </x:c>
      <x:c r="D6" s="18" t="str">
        <x:v>Comparison</x:v>
      </x:c>
      <x:c r="E6" s="18" t="str">
        <x:v>What is not established</x:v>
      </x:c>
      <x:c r="F6" s="18" t="str">
        <x:v>Source / translator</x:v>
      </x:c>
      <x:c r="G6" s="18" t="str">
        <x:v>Access scope</x:v>
      </x:c>
      <x:c r="H6" s="18" t="str">
        <x:v>Source URL</x:v>
      </x:c>
    </x:row>
    <x:row r="7" ht="64" customHeight="1">
      <x:c r="A7" s="23" t="str">
        <x:v>Genesis encounter</x:v>
      </x:c>
      <x:c r="B7" s="23" t="str">
        <x:v>Genesis 14:18-20</x:v>
      </x:c>
      <x:c r="C7" s="23" t="str">
        <x:v>King-priest who blesses Abram and receives a tithe.</x:v>
      </x:c>
      <x:c r="D7" s="23" t="str">
        <x:v>Recognition of sacred authority is narrated before later explanations of institutional descent.</x:v>
      </x:c>
      <x:c r="E7" s="23" t="str">
        <x:v>The passage does not supply an Aaronic or Zadokite genealogy or a transmission route to Qumran.</x:v>
      </x:c>
      <x:c r="F7" s="23" t="str">
        <x:v>Genesis 14:18-20, World English Bible</x:v>
      </x:c>
      <x:c r="G7" s="23" t="str">
        <x:v>Primary chapter consulted. The encounter, blessing and tithe are kept separate from later lineage claims.</x:v>
      </x:c>
      <x:c r="H7" s="23" t="str">
        <x:v>https://ebible.org/engwebp/GEN14.htm</x:v>
      </x:c>
    </x:row>
    <x:row r="8" ht="64" customHeight="1">
      <x:c r="A8" s="23" t="str">
        <x:v>Royal priestly address</x:v>
      </x:c>
      <x:c r="B8" s="23" t="str">
        <x:v>Psalm 110:1-7, especially verse 4</x:v>
      </x:c>
      <x:c r="C8" s="23" t="str">
        <x:v>An enduring priestly appointment in a royal and judicial setting.</x:v>
      </x:c>
      <x:c r="D8" s="23" t="str">
        <x:v>The figure authorizes a role; the surrounding enemy/judgment language must not be omitted.</x:v>
      </x:c>
      <x:c r="E8" s="23" t="str">
        <x:v>A later reading of the royal address is not automatically the original setting of composition.</x:v>
      </x:c>
      <x:c r="F8" s="23" t="str">
        <x:v>Psalm 110, World English Bible</x:v>
      </x:c>
      <x:c r="G8" s="23" t="str">
        <x:v>Primary psalm consulted, especially verses 1-7. Royal and judicial language is retained alongside the priestly address.</x:v>
      </x:c>
      <x:c r="H8" s="23" t="str">
        <x:v>https://ebible.org/engwebp/PSA110.htm</x:v>
      </x:c>
    </x:row>
    <x:row r="9" ht="64" customHeight="1">
      <x:c r="A9" s="23" t="str">
        <x:v>11QMelchizedek</x:v>
      </x:c>
      <x:c r="B9" s="23" t="str">
        <x:v>11Q13 column II, lines 2-9 and 13, through Williams 2023</x:v>
      </x:c>
      <x:c r="C9" s="23" t="str">
        <x:v>Release, restoration and atonement in the consulted scholarly reading.</x:v>
      </x:c>
      <x:c r="D9" s="23" t="str">
        <x:v>Williams argues for an active subject in II 6 rather than an indefinite rendering; this affects the distribution of authority.</x:v>
      </x:c>
      <x:c r="E9" s="23" t="str">
        <x:v>This reading is disputed. Access to a translation and argument does not constitute independent collation of the damaged manuscript.</x:v>
      </x:c>
      <x:c r="F9" s="23" t="str">
        <x:v>Logan Williams (2023), Melchizedek, the Son of Man, and Eschatological Jubilee</x:v>
      </x:c>
      <x:c r="G9" s="23" t="str">
        <x:v>Full-text HTML consulted, particularly the author's translation of 11Q13 II 2-9 and discussion of II 6 and 13. His active-agent reading is distinguished from the critical edition he disputes. The critical edition itself has not been collated in this pass. This is current editorial research, not a recovered author acknowledgment.</x:v>
      </x:c>
      <x:c r="H9" s="23" t="str">
        <x:v>https://journals.sagepub.com/doi/10.1177/0142064X231191176</x:v>
      </x:c>
    </x:row>
    <x:row r="10" ht="64" customHeight="1">
      <x:c r="A10" s="23" t="str">
        <x:v>Continuing priesthood</x:v>
      </x:c>
      <x:c r="B10" s="23" t="str">
        <x:v>Hebrews 7:1-17 and 23-28</x:v>
      </x:c>
      <x:c r="C10" s="23" t="str">
        <x:v>Interpretive superiority and enduring intercession, distinguished from ordinary Levitical qualification.</x:v>
      </x:c>
      <x:c r="D10" s="23" t="str">
        <x:v>The letter uses the inherited figure to reason about a different basis of authority.</x:v>
      </x:c>
      <x:c r="E10" s="23" t="str">
        <x:v>Textual likeness and a continuing role are not evidence that Teacher, James and Jesus are one historical individual.</x:v>
      </x:c>
      <x:c r="F10" s="23" t="str">
        <x:v>Hebrews 7, World English Bible</x:v>
      </x:c>
      <x:c r="G10" s="23" t="str">
        <x:v>Primary chapter consulted, especially verses 1-17 and 23-28. Textual resemblance, descent and continuing priesthood are distinguished.</x:v>
      </x:c>
      <x:c r="H10" s="23" t="str">
        <x:v>https://ebible.org/engwebp/HEB07.htm</x:v>
      </x:c>
    </x:row>
    <x:row r="11" ht="64" customHeight="1">
      <x:c r="A11" s="23" t="str">
        <x:v>Melchizedek tractate</x:v>
      </x:c>
      <x:c r="B11" s="23" t="str">
        <x:v>Nag Hammadi Codex IX,1; online translation, paragraphs on embodiment and the image of the high priest</x:v>
      </x:c>
      <x:c r="C11" s="23" t="str">
        <x:v>Exalted priestly language with ritual participation and explicit embodiment language.</x:v>
      </x:c>
      <x:c r="D11" s="23" t="str">
        <x:v>The anti-docetic passage complicates a universal equation of Gnostic salvation with rejection of the body.</x:v>
      </x:c>
      <x:c r="E11" s="23" t="str">
        <x:v>Extensive gaps prevent an effortless continuous reconstruction. Exact printed page/line citations remain a task.</x:v>
      </x:c>
      <x:c r="F11" s="23" t="str">
        <x:v>Melchizedek, translated by Soren Giversen and Birger A. Pearson</x:v>
      </x:c>
      <x:c r="G11" s="23" t="str">
        <x:v>Online translation retrieved in the indexed full-text result; direct-page retrieval failed. Marked lacunae are retained in the interpretation. The online notice requests published-edition citations for academic work; printed page/line collation remains open. Credit is for a textual source used by this edition, not a claimed personal influence on Micah.</x:v>
      </x:c>
      <x:c r="H11" s="23" t="str">
        <x:v>https://www.gnosis.org/naghamm/melchiz.html</x:v>
      </x:c>
    </x:row>
  </x:sheetData>
  <x:mergeCells>
    <x:mergeCell ref="A1:H1"/>
    <x:mergeCell ref="A2:H3"/>
    <x:mergeCell ref="A5:H5"/>
  </x:mergeCells>
  <x:pageMargins left="0.7" right="0.7" top="0.75" bottom="0.75" header="0.3" footer="0.3"/>
  <x:tableParts count="1">
    <x:tablePart xmlns:r="http://schemas.openxmlformats.org/officeDocument/2006/relationships" r:id="Rc5b7725588224b17"/>
  </x:tableParts>
</x:worksheet>
</file>

<file path=xl/worksheets/sheet7.xml><?xml version="1.0" encoding="utf-8"?>
<x:worksheet xmlns:x="http://schemas.openxmlformats.org/spreadsheetml/2006/main">
  <x:sheetFormatPr defaultRowHeight="15"/>
  <x:cols>
    <x:col min="1" max="1" width="38" hidden="0" customWidth="1"/>
    <x:col min="2" max="2" width="36" hidden="0" customWidth="1"/>
    <x:col min="3" max="3" width="55" hidden="0" customWidth="1"/>
    <x:col min="4" max="4" width="62" hidden="0" customWidth="1"/>
    <x:col min="5" max="5" width="40" hidden="0" customWidth="1"/>
    <x:col min="6" max="6" width="70" hidden="0" customWidth="1"/>
  </x:cols>
  <x:sheetData>
    <x:row r="1" ht="36" customHeight="1">
      <x:c r="A1" s="5" t="str">
        <x:v>Theology | Credit and source lineage</x:v>
      </x:c>
      <x:c r="B1" s="5"/>
      <x:c r="C1" s="5"/>
      <x:c r="D1" s="5"/>
      <x:c r="E1" s="5"/>
      <x:c r="F1" s="5"/>
    </x:row>
    <x:row r="2" ht="22" customHeight="1">
      <x:c r="A2" s="10" t="str">
        <x:v>An author acknowledgment, an edition-used translation, an AI-introduced lead and an independent scholarly argument are not interchangeable.</x:v>
      </x:c>
      <x:c r="B2" s="10"/>
      <x:c r="C2" s="10"/>
      <x:c r="D2" s="10"/>
      <x:c r="E2" s="10"/>
      <x:c r="F2" s="10"/>
    </x:row>
    <x:row r="3" ht="22" customHeight="1">
      <x:c r="A3" s="10"/>
      <x:c r="B3" s="10"/>
      <x:c r="C3" s="10"/>
      <x:c r="D3" s="10"/>
      <x:c r="E3" s="10"/>
      <x:c r="F3" s="10"/>
    </x:row>
    <x:row r="4">
      <x:c r="A4" s="2"/>
      <x:c r="B4" s="2"/>
      <x:c r="C4" s="2"/>
      <x:c r="D4" s="2"/>
      <x:c r="E4" s="2"/>
      <x:c r="F4" s="2"/>
    </x:row>
    <x:row r="5" ht="20" customHeight="1">
      <x:c r="A5" s="14" t="str">
        <x:v>Snapshot 2026-09-05 | 2026.09.05-atlas-1 | Shared plan: theology-wiki/editorial/roadmap.json</x:v>
      </x:c>
      <x:c r="B5" s="14"/>
      <x:c r="C5" s="14"/>
      <x:c r="D5" s="14"/>
      <x:c r="E5" s="14"/>
      <x:c r="F5" s="14"/>
    </x:row>
    <x:row r="6" ht="32" customHeight="1">
      <x:c r="A6" s="18" t="str">
        <x:v>Name</x:v>
      </x:c>
      <x:c r="B6" s="18" t="str">
        <x:v>Type of relationship</x:v>
      </x:c>
      <x:c r="C6" s="18" t="str">
        <x:v>Documented contribution</x:v>
      </x:c>
      <x:c r="D6" s="18" t="str">
        <x:v>Attribution boundary</x:v>
      </x:c>
      <x:c r="E6" s="18" t="str">
        <x:v>Original passages</x:v>
      </x:c>
      <x:c r="F6" s="18" t="str">
        <x:v>Source URLs</x:v>
      </x:c>
    </x:row>
    <x:row r="7" ht="64" customHeight="1">
      <x:c r="A7" s="23" t="str">
        <x:v>James D. Tabor</x:v>
      </x:c>
      <x:c r="B7" s="23" t="str">
        <x:v>Explicit author acknowledgment</x:v>
      </x:c>
      <x:c r="C7" s="23" t="str">
        <x:v>Paul and James, early Jesus movements, recurring prophetic interpretation and the wider Teacher inquiry.</x:v>
      </x:c>
      <x:c r="D7" s="23" t="str">
        <x:v>Acknowledgment is not proof that Tabor endorses the complete October reconstruction. Identify editions and page or recording locations before attributing a specific claim to him.</x:v>
      </x:c>
      <x:c r="E7" s="23" t="str">
        <x:v>paul-vs-james-movement: turn 1
paul-vs-james-movement: turn 59
who-was-josepheous: turn 33</x:v>
      </x:c>
      <x:c r="F7" s="23" t="str">
        <x:v>https://jamestabor.com/books/
https://jamestabor.com/a-shared-utopian-vision-enochians-essenes-ebionites-and-nazarenes/
https://jamestabor.com/ebionites-nazarenes-essenes-nasareans-sorting-out-the-names/</x:v>
      </x:c>
    </x:row>
    <x:row r="8" ht="64" customHeight="1">
      <x:c r="A8" s="23" t="str">
        <x:v>Aaron Abke and Abraham Hicks</x:v>
      </x:c>
      <x:c r="B8" s="23" t="str">
        <x:v>Teachers discussed in the source inquiry</x:v>
      </x:c>
      <x:c r="C8" s="23" t="str">
        <x:v>Comparisons involving faith, inward experience, spiritual vocabulary and the relation of different traditions.</x:v>
      </x:c>
      <x:c r="D8" s="23" t="str">
        <x:v>Discussion or influence is not wholesale endorsement and is not archaeological evidence. A user turn may contain quoted material.</x:v>
      </x:c>
      <x:c r="E8" s="23" t="str">
        <x:v>faith-as-vibration-concept: turn 29</x:v>
      </x:c>
      <x:c r="F8" s="23" t="str"/>
    </x:row>
    <x:row r="9" ht="64" customHeight="1">
      <x:c r="A9" s="23" t="str">
        <x:v>Stephen Patterson and Marvin Meyer</x:v>
      </x:c>
      <x:c r="B9" s="23" t="str">
        <x:v>Translation used in this edition</x:v>
      </x:c>
      <x:c r="C9" s="23" t="str">
        <x:v>Translation of Thomas used for the present passage comparisons.</x:v>
      </x:c>
      <x:c r="D9" s="23" t="str">
        <x:v>This credit records the edition's textual source. It does not retrospectively identify these translators as my personal influences.</x:v>
      </x:c>
      <x:c r="E9" s="23" t="str"/>
      <x:c r="F9" s="23" t="str">
        <x:v>https://www.earlychristianwritings.com/text/thomas-scholars.html</x:v>
      </x:c>
    </x:row>
    <x:row r="10" ht="64" customHeight="1">
      <x:c r="A10" s="23" t="str">
        <x:v>Gabriele Boccaccini</x:v>
      </x:c>
      <x:c r="B10" s="23" t="str">
        <x:v>AI-introduced research lead</x:v>
      </x:c>
      <x:c r="C10" s="23" t="str">
        <x:v>A name introduced in an AI response concerning Enochic and related historical connections.</x:v>
      </x:c>
      <x:c r="D10" s="23" t="str">
        <x:v>The originating response contains reference markers that have not been reconstructed. No particular work or conclusion is attributed as verified scholarship here.</x:v>
      </x:c>
      <x:c r="E10" s="23" t="str">
        <x:v>ai-re-dates-dead-sea-scrolls: turn 66</x:v>
      </x:c>
      <x:c r="F10" s="23" t="str"/>
    </x:row>
    <x:row r="11" ht="64" customHeight="1">
      <x:c r="A11" s="23" t="str">
        <x:v>Soren Giversen and Birger A. Pearson</x:v>
      </x:c>
      <x:c r="B11" s="23" t="str">
        <x:v>Translation used in this edition</x:v>
      </x:c>
      <x:c r="C11" s="23" t="str">
        <x:v>Online Melchizedek translation used in the new comparison.</x:v>
      </x:c>
      <x:c r="D11" s="23" t="str">
        <x:v>Not attributed as an earlier personal influence. Printed-edition collation is open.</x:v>
      </x:c>
      <x:c r="E11" s="23" t="str"/>
      <x:c r="F11" s="23" t="str">
        <x:v>https://www.gnosis.org/naghamm/melchiz.html</x:v>
      </x:c>
    </x:row>
    <x:row r="12" ht="64" customHeight="1">
      <x:c r="A12" s="23" t="str">
        <x:v>Logan Williams</x:v>
      </x:c>
      <x:c r="B12" s="23" t="str">
        <x:v>Current editorial scholarship</x:v>
      </x:c>
      <x:c r="C12" s="23" t="str">
        <x:v>2023 active-agent interpretation of 11Q13 II 6 and comparison with Mark.</x:v>
      </x:c>
      <x:c r="D12" s="23" t="str">
        <x:v>A consulted argument, not an author endorsement, independent manuscript collation, or proof of direct borrowing.</x:v>
      </x:c>
      <x:c r="E12" s="23" t="str"/>
      <x:c r="F12" s="23" t="str">
        <x:v>https://journals.sagepub.com/doi/10.1177/0142064X231191176</x:v>
      </x:c>
    </x:row>
  </x:sheetData>
  <x:mergeCells>
    <x:mergeCell ref="A1:F1"/>
    <x:mergeCell ref="A2:F3"/>
    <x:mergeCell ref="A5:F5"/>
  </x:mergeCells>
  <x:pageMargins left="0.7" right="0.7" top="0.75" bottom="0.75" header="0.3" footer="0.3"/>
  <x:tableParts count="1">
    <x:tablePart xmlns:r="http://schemas.openxmlformats.org/officeDocument/2006/relationships" r:id="R7741f83ca59f4f82"/>
  </x:tableParts>
</x:worksheet>
</file>

<file path=xl/worksheets/sheet8.xml><?xml version="1.0" encoding="utf-8"?>
<x:worksheet xmlns:x="http://schemas.openxmlformats.org/spreadsheetml/2006/main">
  <x:sheetFormatPr defaultRowHeight="15"/>
  <x:cols>
    <x:col min="1" max="1" width="14" hidden="0" customWidth="1"/>
    <x:col min="2" max="2" width="30" hidden="0" customWidth="1"/>
    <x:col min="3" max="3" width="90" hidden="0" customWidth="1"/>
    <x:col min="4" max="4" width="24" hidden="0" customWidth="1"/>
    <x:col min="5" max="5" width="58" hidden="0" customWidth="1"/>
  </x:cols>
  <x:sheetData>
    <x:row r="1" ht="36" customHeight="1">
      <x:c r="A1" s="5" t="str">
        <x:v>Theology | Readiness is evidence, not word count</x:v>
      </x:c>
      <x:c r="B1" s="5"/>
      <x:c r="C1" s="5"/>
      <x:c r="D1" s="5"/>
      <x:c r="E1" s="5"/>
    </x:row>
    <x:row r="2" ht="22" customHeight="1">
      <x:c r="A2" s="10" t="str">
        <x:v>These are whole-manuscript gates. A completed tool, article draft or word-count target does not pass them automatically.</x:v>
      </x:c>
      <x:c r="B2" s="10"/>
      <x:c r="C2" s="10"/>
      <x:c r="D2" s="10"/>
      <x:c r="E2" s="10"/>
    </x:row>
    <x:row r="3" ht="22" customHeight="1">
      <x:c r="A3" s="10"/>
      <x:c r="B3" s="10"/>
      <x:c r="C3" s="10"/>
      <x:c r="D3" s="10"/>
      <x:c r="E3" s="10"/>
    </x:row>
    <x:row r="4">
      <x:c r="A4" s="2"/>
      <x:c r="B4" s="2"/>
      <x:c r="C4" s="2"/>
      <x:c r="D4" s="2"/>
      <x:c r="E4" s="2"/>
    </x:row>
    <x:row r="5" ht="20" customHeight="1">
      <x:c r="A5" s="14" t="str">
        <x:v>Snapshot 2026-09-05 | 2026.09.05-atlas-1 | Shared plan: theology-wiki/editorial/roadmap.json</x:v>
      </x:c>
      <x:c r="B5" s="14"/>
      <x:c r="C5" s="14"/>
      <x:c r="D5" s="14"/>
      <x:c r="E5" s="14"/>
    </x:row>
    <x:row r="6" ht="32" customHeight="1">
      <x:c r="A6" s="18" t="str">
        <x:v>Gate ID</x:v>
      </x:c>
      <x:c r="B6" s="18" t="str">
        <x:v>Gate</x:v>
      </x:c>
      <x:c r="C6" s="18" t="str">
        <x:v>Acceptance evidence required</x:v>
      </x:c>
      <x:c r="D6" s="18" t="str">
        <x:v>Assessment</x:v>
      </x:c>
      <x:c r="E6" s="18" t="str">
        <x:v>Related tasks</x:v>
      </x:c>
    </x:row>
    <x:row r="7" ht="64" customHeight="1">
      <x:c r="A7" s="23" t="str">
        <x:v>G1</x:v>
      </x:c>
      <x:c r="B7" s="23" t="str">
        <x:v>Argument preservation</x:v>
      </x:c>
      <x:c r="C7" s="23" t="str">
        <x:v>Scope, mechanism, qualifications and rejected readings are preserved for each argument.</x:v>
      </x:c>
      <x:c r="D7" s="23" t="str">
        <x:v>Not assessed</x:v>
      </x:c>
      <x:c r="E7" s="23" t="str">
        <x:v>dossier-coverage</x:v>
      </x:c>
    </x:row>
    <x:row r="8" ht="64" customHeight="1">
      <x:c r="A8" s="23" t="str">
        <x:v>G2</x:v>
      </x:c>
      <x:c r="B8" s="23" t="str">
        <x:v>Source grounding</x:v>
      </x:c>
      <x:c r="C8" s="23" t="str">
        <x:v>Worked passages are linked to consulted editions, with differences and alternative accounts.</x:v>
      </x:c>
      <x:c r="D8" s="23" t="str">
        <x:v>Not assessed</x:v>
      </x:c>
      <x:c r="E8" s="23" t="str">
        <x:v>melchizedek; thomas-passages; temple-case</x:v>
      </x:c>
    </x:row>
    <x:row r="9" ht="64" customHeight="1">
      <x:c r="A9" s="23" t="str">
        <x:v>G3</x:v>
      </x:c>
      <x:c r="B9" s="23" t="str">
        <x:v>Historical layers</x:v>
      </x:c>
      <x:c r="C9" s="23" t="str">
        <x:v>Event, composition, manuscript and interpretation dates remain distinguishable.</x:v>
      </x:c>
      <x:c r="D9" s="23" t="str">
        <x:v>Not assessed</x:v>
      </x:c>
      <x:c r="E9" s="23" t="str">
        <x:v>tor-version; trauma</x:v>
      </x:c>
    </x:row>
    <x:row r="10" ht="64" customHeight="1">
      <x:c r="A10" s="23" t="str">
        <x:v>G4</x:v>
      </x:c>
      <x:c r="B10" s="23" t="str">
        <x:v>Attribution and rights</x:v>
      </x:c>
      <x:c r="C10" s="23" t="str">
        <x:v>Intellectual debts, quotations, source access and image rights are verified.</x:v>
      </x:c>
      <x:c r="D10" s="23" t="str">
        <x:v>Not assessed</x:v>
      </x:c>
      <x:c r="E10" s="23" t="str">
        <x:v>bibliography-rights</x:v>
      </x:c>
    </x:row>
    <x:row r="11" ht="64" customHeight="1">
      <x:c r="A11" s="23" t="str">
        <x:v>G5</x:v>
      </x:c>
      <x:c r="B11" s="23" t="str">
        <x:v>Authorial review</x:v>
      </x:c>
      <x:c r="C11" s="23" t="str">
        <x:v>I approve the actual chapter wording and the treatment of the arguments.</x:v>
      </x:c>
      <x:c r="D11" s="23" t="str">
        <x:v>Not assessed</x:v>
      </x:c>
      <x:c r="E11" s="23" t="str">
        <x:v>author-fidelity</x:v>
      </x:c>
    </x:row>
    <x:row r="12" ht="64" customHeight="1">
      <x:c r="A12" s="23" t="str">
        <x:v>G6</x:v>
      </x:c>
      <x:c r="B12" s="23" t="str">
        <x:v>Narrative continuity</x:v>
      </x:c>
      <x:c r="C12" s="23" t="str">
        <x:v>Each chapter develops a question and hands off to the next without forced logical dependence.</x:v>
      </x:c>
      <x:c r="D12" s="23" t="str">
        <x:v>Not assessed</x:v>
      </x:c>
      <x:c r="E12" s="23" t="str">
        <x:v>chapter-arc; copyedit</x:v>
      </x:c>
    </x:row>
    <x:row r="13" ht="64" customHeight="1">
      <x:c r="A13" s="23" t="str">
        <x:v>G7</x:v>
      </x:c>
      <x:c r="B13" s="23" t="str">
        <x:v>Publication readiness</x:v>
      </x:c>
      <x:c r="C13" s="23" t="str">
        <x:v>Stable build, accessible reader, checked print artifacts, working links and archived approved edition.</x:v>
      </x:c>
      <x:c r="D13" s="23" t="str">
        <x:v>Not assessed</x:v>
      </x:c>
      <x:c r="E13" s="23" t="str">
        <x:v>publication-qa; release-edition</x:v>
      </x:c>
    </x:row>
  </x:sheetData>
  <x:mergeCells>
    <x:mergeCell ref="A1:E1"/>
    <x:mergeCell ref="A2:E3"/>
    <x:mergeCell ref="A5:E5"/>
  </x:mergeCells>
  <x:dataValidations count="1">
    <x:dataValidation type="list" sqref="D7:D13">
      <x:formula1>"Not assessed,In review,Changes required,Passed with evidence"</x:formula1>
    </x:dataValidation>
  </x:dataValidations>
  <x:pageMargins left="0.7" right="0.7" top="0.75" bottom="0.75" header="0.3" footer="0.3"/>
  <x:tableParts count="1">
    <x:tablePart xmlns:r="http://schemas.openxmlformats.org/officeDocument/2006/relationships" r:id="R491a4979174646a7"/>
  </x:tableParts>
</x:worksheet>
</file>

<file path=xl/worksheets/sheet9.xml><?xml version="1.0" encoding="utf-8"?>
<x:worksheet xmlns:x="http://schemas.openxmlformats.org/spreadsheetml/2006/main">
  <x:sheetFormatPr defaultRowHeight="15"/>
  <x:cols>
    <x:col min="1" max="1" width="34" hidden="0" customWidth="1"/>
    <x:col min="2" max="2" width="112" hidden="0" customWidth="1"/>
  </x:cols>
  <x:sheetData>
    <x:row r="1" ht="36" customHeight="1">
      <x:c r="A1" s="5" t="str">
        <x:v>Theology | How to use and maintain this plan</x:v>
      </x:c>
      <x:c r="B1" s="5"/>
    </x:row>
    <x:row r="2" ht="22" customHeight="1">
      <x:c r="A2" s="10" t="str">
        <x:v>Read the limits before interpreting the dashboard. Source-backed planning and author approval are deliberately separate.</x:v>
      </x:c>
      <x:c r="B2" s="10"/>
    </x:row>
    <x:row r="3" ht="22" customHeight="1">
      <x:c r="A3" s="10"/>
      <x:c r="B3" s="10"/>
    </x:row>
    <x:row r="4">
      <x:c r="A4" s="2"/>
      <x:c r="B4" s="2"/>
    </x:row>
    <x:row r="5" ht="20" customHeight="1">
      <x:c r="A5" s="14" t="str">
        <x:v>Snapshot 2026-09-05 | 2026.09.05-atlas-1 | Shared plan: theology-wiki/editorial/roadmap.json</x:v>
      </x:c>
      <x:c r="B5" s="14"/>
    </x:row>
    <x:row r="6" ht="32" customHeight="1">
      <x:c r="A6" s="18" t="str">
        <x:v>Field</x:v>
      </x:c>
      <x:c r="B6" s="18" t="str">
        <x:v>Meaning / source</x:v>
      </x:c>
    </x:row>
    <x:row r="7" ht="64" customHeight="1">
      <x:c r="A7" s="23" t="str">
        <x:v>Canonical shared plan</x:v>
      </x:c>
      <x:c r="B7" s="23" t="str">
        <x:v>theology-wiki/editorial/roadmap.json</x:v>
      </x:c>
    </x:row>
    <x:row r="8" ht="64" customHeight="1">
      <x:c r="A8" s="23" t="str">
        <x:v>Published reader</x:v>
      </x:c>
      <x:c r="B8" s="23" t="str">
        <x:v>https://v5ma.github.io/theology-wiki/san-reader.html?page=research-roadmap</x:v>
      </x:c>
    </x:row>
    <x:row r="9" ht="64" customHeight="1">
      <x:c r="A9" s="23" t="str">
        <x:v>Workbook meaning</x:v>
      </x:c>
      <x:c r="B9" s="23" t="str">
        <x:v>A portable planning snapshot. Editable cells are blue. Changes do not update the website or personal board.</x:v>
      </x:c>
    </x:row>
    <x:row r="10" ht="64" customHeight="1">
      <x:c r="A10" s="23" t="str">
        <x:v>Verified output</x:v>
      </x:c>
      <x:c r="B10" s="23" t="str">
        <x:v>The bounded acceptance criterion has evidence. This is not a truth score, publication approval, or completed book percentage.</x:v>
      </x:c>
    </x:row>
    <x:row r="11" ht="64" customHeight="1">
      <x:c r="A11" s="23" t="str">
        <x:v>Dates</x:v>
      </x:c>
      <x:c r="B11" s="23" t="str">
        <x:v>Target dates are intentionally blank. Dependencies define order; no background work or completion date is promised.</x:v>
      </x:c>
    </x:row>
    <x:row r="12" ht="64" customHeight="1">
      <x:c r="A12" s="23" t="str">
        <x:v>Source coverage</x:v>
      </x:c>
      <x:c r="B12" s="23" t="str">
        <x:v>Recorded article links and selected anchors are counted. No developed-article link is not equivalent to unread, irrelevant, rejected or unimportant.</x:v>
      </x:c>
    </x:row>
    <x:row r="13" ht="64" customHeight="1">
      <x:c r="A13" s="23" t="str">
        <x:v>Source dates</x:v>
      </x:c>
      <x:c r="B13" s="23" t="str">
        <x:v>Export-start dates can predate later conversation turns; do not use them to date every statement.</x:v>
      </x:c>
    </x:row>
    <x:row r="14" ht="64" customHeight="1">
      <x:c r="A14" s="23" t="str">
        <x:v>Task IDs</x:v>
      </x:c>
      <x:c r="B14" s="23" t="str">
        <x:v>Preserve IDs when recording edits. Unknown IDs need deliberate review before changing the canonical plan.</x:v>
      </x:c>
    </x:row>
    <x:row r="15" ht="64" customHeight="1">
      <x:c r="A15" s="23" t="str">
        <x:v>Source integrity</x:v>
      </x:c>
      <x:c r="B15" s="23" t="str">
        <x:v>The SHA-256 and byte counts are imported from the preserved corpus metadata.</x:v>
      </x:c>
    </x:row>
    <x:row r="16" ht="64" customHeight="1">
      <x:c r="A16" s="23" t="str">
        <x:v>Approval</x:v>
      </x:c>
      <x:c r="B16" s="23" t="str">
        <x:v>Only author review can approve wording. Editing a workbook status does not confer public approval.</x:v>
      </x:c>
    </x:row>
    <x:row r="17" ht="64" customHeight="1">
      <x:c r="A17" s="23" t="str">
        <x:v>Update procedure</x:v>
      </x:c>
      <x:c r="B17" s="23" t="str">
        <x:v>Edit the canonical JSON through a reviewed repository change, run the build and tests, regenerate this workbook, and retain version/hash evidence.</x:v>
      </x:c>
    </x:row>
    <x:row r="18" ht="64" customHeight="1">
      <x:c r="A18" s="23" t="str">
        <x:v>Next writing pass</x:v>
      </x:c>
      <x:c r="B18" s="23" t="str">
        <x:v>Review the Daniel and Onias studies, then pursue the precise critical editions and historical intermediates recorded in each task. New comparison work does not confer author approval or validate an entire reconstruction.</x:v>
      </x:c>
    </x:row>
    <x:row r="19" ht="64" customHeight="1">
      <x:c r="A19" s="23" t="str">
        <x:v>Existing personal board</x:v>
      </x:c>
      <x:c r="B19" s="23" t="str">
        <x:v>The personal browser board remains separate and keeps its own local backup/restore.</x:v>
      </x:c>
    </x:row>
    <x:row r="20" ht="64" customHeight="1">
      <x:c r="A20" s="23" t="str">
        <x:v>Baseline commit</x:v>
      </x:c>
      <x:c r="B20" s="23" t="str">
        <x:v>a39f1f8391580e1a743763d6f6c455e4ead3aad8</x:v>
      </x:c>
    </x:row>
    <x:row r="21" ht="64" customHeight="1">
      <x:c r="A21" s="23" t="str">
        <x:v>Connected foundations refresh</x:v>
      </x:c>
      <x:c r="B21" s="23" t="str">
        <x:v>2026-09-06. The book routes now include computational divine immanence and flood inheritance. Coherence and formal-comparison tasks are Draft; author approval and independent argument checks remain open.</x:v>
      </x:c>
    </x:row>
  </x:sheetData>
  <x:mergeCells>
    <x:mergeCell ref="A1:B1"/>
    <x:mergeCell ref="A2:B3"/>
    <x:mergeCell ref="A5:B5"/>
  </x:mergeCells>
  <x:pageMargins left="0.7" right="0.7" top="0.75" bottom="0.75" header="0.3" footer="0.3"/>
  <x:tableParts count="1">
    <x:tablePart xmlns:r="http://schemas.openxmlformats.org/officeDocument/2006/relationships" r:id="R92c699935969427a"/>
  </x:tableParts>
</x:worksheet>
</file>