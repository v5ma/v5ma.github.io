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4b18c500e40478d" /></Relationships>
</file>

<file path=xl/workbook.xml><?xml version="1.0" encoding="utf-8"?>
<x:workbook xmlns:x="http://schemas.openxmlformats.org/spreadsheetml/2006/main">
  <x:sheets>
    <x:sheet xmlns:r="http://schemas.openxmlformats.org/officeDocument/2006/relationships" name="Overview" sheetId="1" r:id="R6f9f9de2e6614a49"/>
    <x:sheet xmlns:r="http://schemas.openxmlformats.org/officeDocument/2006/relationships" name="Checklist" sheetId="2" r:id="R959b80910d464e17"/>
    <x:sheet xmlns:r="http://schemas.openxmlformats.org/officeDocument/2006/relationships" name="Dependencies" sheetId="3" r:id="R04a80c6b0614457c"/>
    <x:sheet xmlns:r="http://schemas.openxmlformats.org/officeDocument/2006/relationships" name="Chapter Map" sheetId="4" r:id="R98ea3bcca3d140ed"/>
    <x:sheet xmlns:r="http://schemas.openxmlformats.org/officeDocument/2006/relationships" name="Source Coverage" sheetId="5" r:id="R7d75d5007a32425d"/>
    <x:sheet xmlns:r="http://schemas.openxmlformats.org/officeDocument/2006/relationships" name="Textual Evidence" sheetId="6" r:id="R7af52c50ae714778"/>
    <x:sheet xmlns:r="http://schemas.openxmlformats.org/officeDocument/2006/relationships" name="Intellectual Debts" sheetId="7" r:id="R2832513b04e74584"/>
    <x:sheet xmlns:r="http://schemas.openxmlformats.org/officeDocument/2006/relationships" name="Release Gates" sheetId="8" r:id="Ra63591f96b334f18"/>
    <x:sheet xmlns:r="http://schemas.openxmlformats.org/officeDocument/2006/relationships" name="Read Me" sheetId="9" r:id="R946a7c799b9b476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21">
    <x:font>
      <x:sz val="11"/>
      <x:name val="Carlito"/>
    </x:font>
    <x:font>
      <x:sz val="10"/>
      <x:color rgb="FF203543"/>
      <x:name val="Aptos"/>
    </x:font>
    <x:font>
      <x:b/>
      <x:sz val="18"/>
      <x:color rgb="FFFFFFFF"/>
      <x:name val="Aptos"/>
    </x:font>
    <x:font>
      <x:sz val="9"/>
      <x:color rgb="FF516674"/>
      <x:name val="Aptos"/>
    </x:font>
    <x:font>
      <x:b/>
      <x:sz val="10"/>
      <x:color rgb="FFFFFFFF"/>
      <x:name val="Aptos"/>
    </x:font>
    <x:font>
      <x:b/>
      <x:sz val="10"/>
      <x:color rgb="FF203543"/>
      <x:name val="Aptos"/>
    </x:font>
    <x:font>
      <x:sz val="10"/>
      <x:color rgb="FF2458A0"/>
      <x:name val="Aptos"/>
    </x:font>
    <x:font>
      <x:sz val="9"/>
      <x:color rgb="FF203543"/>
      <x:name val="Consolas"/>
    </x:font>
    <x:font>
      <x:sz val="11"/>
      <x:color rgb="FF203543"/>
      <x:name val="Aptos"/>
    </x:font>
    <x:font>
      <x:b/>
      <x:sz val="22"/>
      <x:color rgb="FFFFFFFF"/>
      <x:name val="Aptos"/>
    </x:font>
    <x:font>
      <x:b/>
      <x:sz val="28"/>
      <x:color rgb="FF19364B"/>
      <x:name val="Aptos"/>
    </x:font>
    <x:font>
      <x:b/>
      <x:sz val="11"/>
      <x:color rgb="FFFFFFFF"/>
      <x:name val="Aptos"/>
    </x:font>
    <x:font>
      <x:sz val="9"/>
      <x:color rgb="FF203543"/>
      <x:name val="Aptos"/>
    </x:font>
    <x:font>
      <x:sz val="11"/>
      <x:color rgb="FFFFFFFF"/>
      <x:name val="Aptos"/>
    </x:font>
    <x:font>
      <x:sz val="9"/>
      <x:color rgb="FF19364B"/>
      <x:name val="Aptos"/>
    </x:font>
    <x:font>
      <x:sz val="10"/>
      <x:color rgb="FFFFFFFF"/>
      <x:name val="Aptos"/>
    </x:font>
    <x:font>
      <x:sz val="11"/>
      <x:color rgb="FFFFFFFF"/>
      <x:name val="Carlito"/>
    </x:font>
    <x:font>
      <x:sz val="10"/>
      <x:name val="Carlito"/>
    </x:font>
    <x:font>
      <x:sz val="10"/>
      <x:color rgb="FF19364B"/>
      <x:name val="Aptos"/>
    </x:font>
    <x:font>
      <x:sz val="10"/>
      <x:color rgb="FF19364B"/>
      <x:name val="Carlito"/>
    </x:font>
    <x:font>
      <x:b/>
      <x:sz val="11"/>
      <x:color rgb="FFFFFFFF"/>
      <x:name val="Carlito"/>
    </x:font>
  </x:fonts>
  <x:fills count="7">
    <x:fill>
      <x:patternFill patternType="none"/>
    </x:fill>
    <x:fill>
      <x:patternFill patternType="gray125"/>
    </x:fill>
    <x:fill>
      <x:patternFill patternType="solid">
        <x:fgColor rgb="FF19364B"/>
      </x:patternFill>
    </x:fill>
    <x:fill>
      <x:patternFill patternType="solid">
        <x:fgColor rgb="FFEAF1F4"/>
      </x:patternFill>
    </x:fill>
    <x:fill>
      <x:patternFill patternType="solid">
        <x:fgColor rgb="FF22736F"/>
      </x:patternFill>
    </x:fill>
    <x:fill>
      <x:patternFill patternType="solid">
        <x:fgColor rgb="FF19364B"/>
      </x:patternFill>
    </x:fill>
    <x:fill>
      <x:patternFill patternType="solid">
        <x:fgColor rgb="FF22736F"/>
      </x:patternFill>
    </x:fill>
  </x:fills>
  <x:borders count="2">
    <x:border/>
    <x:border/>
  </x:borders>
  <x:cellStyleXfs count="1">
    <x:xf numFmtId="0" fontId="0" fillId="0" borderId="0"/>
  </x:cellStyleXfs>
  <x:cellXfs count="85">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1" fillId="2" borderId="1" xfId="0" applyNumberFormat="1" applyFont="1" applyFill="1" applyBorder="1"/>
    <x:xf numFmtId="0" fontId="2" fillId="2" borderId="1"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vertical="center" wrapText="1"/>
    </x:xf>
    <x:xf numFmtId="0" fontId="1" fillId="3" borderId="1" xfId="0" applyNumberFormat="1" applyFont="1" applyFill="1" applyBorder="1"/>
    <x:xf numFmtId="0" fontId="1" fillId="3" borderId="1" xfId="0" applyNumberFormat="1" applyFont="1" applyFill="1" applyBorder="1" applyAlignment="1">
      <x:alignment wrapText="1"/>
    </x:xf>
    <x:xf numFmtId="0" fontId="1" fillId="3" borderId="1" xfId="0" applyNumberFormat="1" applyFont="1" applyFill="1" applyBorder="1" applyAlignment="1">
      <x:alignment vertical="center" wrapText="1"/>
    </x:xf>
    <x:xf numFmtId="0" fontId="3" fillId="0" borderId="0" xfId="0" applyNumberFormat="1" applyFont="1" applyFill="1" applyBorder="1"/>
    <x:xf numFmtId="0" fontId="3" fillId="0" borderId="1" xfId="0" applyNumberFormat="1" applyFont="1" applyFill="1" applyBorder="1"/>
    <x:xf numFmtId="0" fontId="1"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1"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wrapText="1"/>
    </x:xf>
    <x:xf numFmtId="0" fontId="1" fillId="0" borderId="1"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1"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200" fontId="6" fillId="0" borderId="1"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1" fontId="1" fillId="0" borderId="1"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7" fillId="0" borderId="1" xfId="0" applyNumberFormat="1" applyFont="1" applyFill="1" applyBorder="1" applyAlignment="1">
      <x:alignment vertical="top" wrapText="1"/>
    </x:xf>
    <x:xf numFmtId="0" fontId="8" fillId="0" borderId="0" xfId="0" applyNumberFormat="1" applyFont="1" applyFill="1" applyBorder="1"/>
    <x:xf numFmtId="0" fontId="8" fillId="0" borderId="1" xfId="0" applyNumberFormat="1" applyFont="1" applyFill="1" applyBorder="1"/>
    <x:xf numFmtId="0" fontId="8" fillId="2" borderId="0" xfId="0" applyNumberFormat="1" applyFont="1" applyFill="1" applyBorder="1"/>
    <x:xf numFmtId="0" fontId="9" fillId="2" borderId="0" xfId="0" applyNumberFormat="1" applyFont="1" applyFill="1" applyBorder="1"/>
    <x:xf numFmtId="0" fontId="8" fillId="2" borderId="1" xfId="0" applyNumberFormat="1" applyFont="1" applyFill="1" applyBorder="1"/>
    <x:xf numFmtId="0" fontId="9" fillId="2" borderId="1" xfId="0" applyNumberFormat="1" applyFont="1" applyFill="1" applyBorder="1"/>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1" xfId="0" applyNumberFormat="1" applyFont="1" applyFill="1" applyBorder="1"/>
    <x:xf numFmtId="0" fontId="8" fillId="3" borderId="1" xfId="0" applyNumberFormat="1" applyFont="1" applyFill="1" applyBorder="1" applyAlignment="1">
      <x:alignment wrapText="1"/>
    </x:xf>
    <x:xf numFmtId="0" fontId="8" fillId="4" borderId="0" xfId="0" applyNumberFormat="1" applyFont="1" applyFill="1" applyBorder="1"/>
    <x:xf numFmtId="0" fontId="8" fillId="4" borderId="1" xfId="0" applyNumberFormat="1" applyFont="1" applyFill="1" applyBorder="1"/>
    <x:xf numFmtId="0" fontId="10" fillId="3" borderId="0" xfId="0" applyNumberFormat="1" applyFont="1" applyFill="1" applyBorder="1"/>
    <x:xf numFmtId="0" fontId="10" fillId="3" borderId="1" xfId="0" applyNumberFormat="1" applyFont="1" applyFill="1" applyBorder="1"/>
    <x:xf numFmtId="0" fontId="8" fillId="0" borderId="0" xfId="0" applyNumberFormat="1" applyFont="1" applyFill="1" applyBorder="1" applyAlignment="1">
      <x:alignment wrapText="1"/>
    </x:xf>
    <x:xf numFmtId="0" fontId="8" fillId="0" borderId="1" xfId="0" applyNumberFormat="1" applyFont="1" applyFill="1" applyBorder="1" applyAlignment="1">
      <x:alignment wrapText="1"/>
    </x:xf>
    <x:xf numFmtId="0" fontId="11" fillId="4" borderId="0" xfId="0" applyNumberFormat="1" applyFont="1" applyFill="1" applyBorder="1"/>
    <x:xf numFmtId="0" fontId="11" fillId="4" borderId="1" xfId="0" applyNumberFormat="1" applyFont="1" applyFill="1" applyBorder="1"/>
    <x:xf numFmtId="0" fontId="8" fillId="3" borderId="0" xfId="0" applyNumberFormat="1" applyFont="1" applyFill="1" applyBorder="1" applyAlignment="1">
      <x:alignment vertical="center" wrapText="1"/>
    </x:xf>
    <x:xf numFmtId="0" fontId="8" fillId="3" borderId="1" xfId="0" applyNumberFormat="1" applyFont="1" applyFill="1" applyBorder="1" applyAlignment="1">
      <x:alignment vertical="center" wrapText="1"/>
    </x:xf>
    <x:xf numFmtId="0" fontId="8" fillId="0" borderId="0" xfId="0" applyNumberFormat="1" applyFont="1" applyFill="1" applyBorder="1" applyAlignment="1">
      <x:alignment vertical="center" wrapText="1"/>
    </x:xf>
    <x:xf numFmtId="0" fontId="8" fillId="0" borderId="1" xfId="0" applyNumberFormat="1" applyFont="1" applyFill="1" applyBorder="1" applyAlignment="1">
      <x:alignment vertical="center" wrapText="1"/>
    </x:xf>
    <x:xf numFmtId="0" fontId="10" fillId="3" borderId="0" xfId="0" applyNumberFormat="1" applyFont="1" applyFill="1" applyBorder="1" applyAlignment="1">
      <x:alignment horizontal="center"/>
    </x:xf>
    <x:xf numFmtId="0" fontId="10" fillId="3" borderId="1" xfId="0" applyNumberFormat="1" applyFont="1" applyFill="1" applyBorder="1" applyAlignment="1">
      <x:alignment horizontal="center"/>
    </x:xf>
    <x:xf numFmtId="0" fontId="10" fillId="3" borderId="0" xfId="0" applyNumberFormat="1" applyFont="1" applyFill="1" applyBorder="1" applyAlignment="1">
      <x:alignment horizontal="center" vertical="center"/>
    </x:xf>
    <x:xf numFmtId="0" fontId="10" fillId="3" borderId="1" xfId="0" applyNumberFormat="1" applyFont="1" applyFill="1" applyBorder="1" applyAlignment="1">
      <x:alignment horizontal="center" vertical="center"/>
    </x:xf>
    <x:xf numFmtId="0" fontId="0" fillId="0" borderId="0" xfId="0" applyNumberFormat="1" applyFont="1" applyFill="1" applyBorder="1"/>
    <x:xf numFmtId="0" fontId="12" fillId="0" borderId="0" xfId="0" applyNumberFormat="1" applyFont="1" applyFill="1" applyBorder="1"/>
    <x:xf numFmtId="0" fontId="12" fillId="0" borderId="0" xfId="0" applyNumberFormat="1" applyFont="1" applyFill="1" applyBorder="1" applyAlignment="1">
      <x:alignment wrapText="1"/>
    </x:xf>
    <x:xf numFmtId="0" fontId="9" fillId="5" borderId="0" xfId="0" applyNumberFormat="1" applyFont="1" applyFill="1" applyBorder="1"/>
    <x:xf numFmtId="0" fontId="8" fillId="5" borderId="0" xfId="0" applyNumberFormat="1" applyFont="1" applyFill="1" applyBorder="1" applyAlignment="1">
      <x:alignment vertical="center" wrapText="1"/>
    </x:xf>
    <x:xf numFmtId="0" fontId="13" fillId="5" borderId="0" xfId="0" applyNumberFormat="1" applyFont="1" applyFill="1" applyBorder="1" applyAlignment="1">
      <x:alignment vertical="center" wrapText="1"/>
    </x:xf>
    <x:xf numFmtId="0" fontId="14" fillId="0" borderId="0" xfId="0" applyNumberFormat="1" applyFont="1" applyFill="1" applyBorder="1" applyAlignment="1">
      <x:alignment wrapText="1"/>
    </x:xf>
    <x:xf numFmtId="0" fontId="2" fillId="5" borderId="0" xfId="0" applyNumberFormat="1" applyFont="1" applyFill="1" applyBorder="1"/>
    <x:xf numFmtId="0" fontId="1" fillId="5" borderId="0" xfId="0" applyNumberFormat="1" applyFont="1" applyFill="1" applyBorder="1" applyAlignment="1">
      <x:alignment vertical="center" wrapText="1"/>
    </x:xf>
    <x:xf numFmtId="0" fontId="15" fillId="5" borderId="0" xfId="0" applyNumberFormat="1" applyFont="1" applyFill="1" applyBorder="1" applyAlignment="1">
      <x:alignment vertical="center" wrapText="1"/>
    </x:xf>
    <x:xf numFmtId="0" fontId="14" fillId="0" borderId="0" xfId="0" applyNumberFormat="1" applyFont="1" applyFill="1" applyBorder="1"/>
    <x:xf numFmtId="0" fontId="0" fillId="5" borderId="0" xfId="0" applyNumberFormat="1" applyFont="1" applyFill="1" applyBorder="1"/>
    <x:xf numFmtId="0" fontId="16" fillId="5" borderId="0" xfId="0" applyNumberFormat="1" applyFont="1" applyFill="1" applyBorder="1"/>
    <x:xf numFmtId="0" fontId="0" fillId="0" borderId="0" xfId="0" applyNumberFormat="1" applyFont="1" applyFill="1" applyBorder="1" applyAlignment="1">
      <x:alignment wrapText="1"/>
    </x:xf>
    <x:xf numFmtId="0" fontId="17" fillId="0" borderId="0" xfId="0" applyNumberFormat="1" applyFont="1" applyFill="1" applyBorder="1" applyAlignment="1">
      <x:alignment wrapText="1"/>
    </x:xf>
    <x:xf numFmtId="0" fontId="18" fillId="0" borderId="0" xfId="0" applyNumberFormat="1" applyFont="1" applyFill="1" applyBorder="1" applyAlignment="1">
      <x:alignment vertical="top" wrapText="1"/>
    </x:xf>
    <x:xf numFmtId="0" fontId="19" fillId="0" borderId="0" xfId="0" applyNumberFormat="1" applyFont="1" applyFill="1" applyBorder="1" applyAlignment="1">
      <x:alignment wrapText="1"/>
    </x:xf>
    <x:xf numFmtId="0" fontId="4" fillId="6" borderId="0" xfId="0" applyNumberFormat="1" applyFont="1" applyFill="1" applyBorder="1" applyAlignment="1">
      <x:alignment wrapText="1"/>
    </x:xf>
    <x:xf numFmtId="0" fontId="0" fillId="6" borderId="0" xfId="0" applyNumberFormat="1" applyFont="1" applyFill="1" applyBorder="1" applyAlignment="1">
      <x:alignment wrapText="1"/>
    </x:xf>
    <x:xf numFmtId="0" fontId="16" fillId="6" borderId="0" xfId="0" applyNumberFormat="1" applyFont="1" applyFill="1" applyBorder="1" applyAlignment="1">
      <x:alignment wrapText="1"/>
    </x:xf>
    <x:xf numFmtId="0" fontId="20" fillId="6" borderId="0" xfId="0" applyNumberFormat="1" applyFont="1" applyFill="1" applyBorder="1" applyAlignment="1">
      <x:alignment wrapText="1"/>
    </x:xf>
    <x:xf numFmtId="0" fontId="19"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cellXfs>
  <x:cellStyles count="1">
    <x:cellStyle name="Normal" xfId="0"/>
  </x:cellStyles>
  <x:dxfs count="2">
    <x:dxf>
      <x:font>
        <x:color rgb="FF23573B"/>
      </x:font>
      <x:fill>
        <x:patternFill>
          <x:bgColor rgb="FFDCEFE6"/>
        </x:patternFill>
      </x:fill>
    </x:dxf>
    <x:dxf>
      <x:fill>
        <x:patternFill>
          <x:bgColor rgb="FFFBE4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e4ec153cd934ff6" /><Relationship Type="http://schemas.openxmlformats.org/officeDocument/2006/relationships/theme" Target="/xl/theme/theme1.xml" Id="R16143f8779b74969" /><Relationship Type="http://schemas.openxmlformats.org/officeDocument/2006/relationships/sharedStrings" Target="/xl/sharedStrings.xml" Id="R64d59ebbbb584ba6" /><Relationship Type="http://schemas.openxmlformats.org/officeDocument/2006/relationships/worksheet" Target="/xl/worksheets/sheet1.xml" Id="R6f9f9de2e6614a49" /><Relationship Type="http://schemas.openxmlformats.org/officeDocument/2006/relationships/worksheet" Target="/xl/worksheets/sheet2.xml" Id="R959b80910d464e17" /><Relationship Type="http://schemas.openxmlformats.org/officeDocument/2006/relationships/worksheet" Target="/xl/worksheets/sheet3.xml" Id="R04a80c6b0614457c" /><Relationship Type="http://schemas.openxmlformats.org/officeDocument/2006/relationships/worksheet" Target="/xl/worksheets/sheet4.xml" Id="R98ea3bcca3d140ed" /><Relationship Type="http://schemas.openxmlformats.org/officeDocument/2006/relationships/worksheet" Target="/xl/worksheets/sheet5.xml" Id="R7d75d5007a32425d" /><Relationship Type="http://schemas.openxmlformats.org/officeDocument/2006/relationships/worksheet" Target="/xl/worksheets/sheet6.xml" Id="R7af52c50ae714778" /><Relationship Type="http://schemas.openxmlformats.org/officeDocument/2006/relationships/worksheet" Target="/xl/worksheets/sheet7.xml" Id="R2832513b04e74584" /><Relationship Type="http://schemas.openxmlformats.org/officeDocument/2006/relationships/worksheet" Target="/xl/worksheets/sheet8.xml" Id="Ra63591f96b334f18" /><Relationship Type="http://schemas.openxmlformats.org/officeDocument/2006/relationships/worksheet" Target="/xl/worksheets/sheet9.xml" Id="R946a7c799b9b4768" /></Relationships>
</file>

<file path=xl/drawings/_rels/drawing1.xml.rels>&#65279;<?xml version="1.0" encoding="utf-8"?><Relationships xmlns="http://schemas.openxmlformats.org/package/2006/relationships"><Relationship Type="http://schemas.openxmlformats.org/officeDocument/2006/relationships/chart" Target="/xl/drawings/charts/chart1.xml" Id="R3fea559d5e1b4754" /></Relationships>
</file>

<file path=xl/drawings/charts/chart1.xml><?xml version="1.0" encoding="utf-8"?>
<c:chartSpace xmlns:c="http://schemas.openxmlformats.org/drawingml/2006/chart">
  <c:lang val="en-US"/>
  <c:roundedCorners val="0"/>
  <c:chart>
    <c:plotArea>
      <c:barChart>
        <c:barDir val="bar"/>
        <c:grouping val="clustered"/>
        <c:varyColors val="0"/>
        <c:ser>
          <c:idx val="0"/>
          <c:order val="0"/>
          <c:tx>
            <c:v>Tasks</c:v>
          </c:tx>
          <c:cat>
            <c:strRef>
              <c:f>'Overview'!$A$15:$A$21</c:f>
              <c:strCache>
                <c:ptCount val="0"/>
              </c:strCache>
            </c:strRef>
          </c:cat>
          <c:val>
            <c:numRef>
              <c:f>'Overview'!$E$15:$E$21</c:f>
              <c:numCache>
                <c:formatCode>General</c:formatCode>
                <c:ptCount val="0"/>
              </c:numCache>
            </c:numRef>
          </c:val>
        </c:ser>
        <c:ser>
          <c:idx val="1"/>
          <c:order val="1"/>
          <c:tx>
            <c:v>Verified outputs</c:v>
          </c:tx>
          <c:cat>
            <c:strRef>
              <c:f>'Overview'!$A$15:$A$21</c:f>
              <c:strCache>
                <c:ptCount val="0"/>
              </c:strCache>
            </c:strRef>
          </c:cat>
          <c:val>
            <c:numRef>
              <c:f>'Overview'!$F$15:$F$21</c:f>
              <c:numCache>
                <c:formatCode>General</c:formatCode>
                <c:ptCount val="0"/>
              </c:numCache>
            </c:numRef>
          </c:val>
        </c:ser>
        <c:axId val="48650112"/>
        <c:axId val="48672768"/>
      </c:barChart>
      <c:catAx>
        <c:axId val="48650112"/>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13</xdr:row>
      <xdr:rowOff>0</xdr:rowOff>
    </xdr:from>
    <xdr:to>
      <xdr:col>12</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fea559d5e1b4754"/>
        </a:graphicData>
      </a:graphic>
    </xdr:graphicFrame>
    <xdr:clientData/>
  </xdr:twoCellAnchor>
</xdr:wsDr>
</file>

<file path=xl/tables/table1.xml><?xml version="1.0" encoding="utf-8"?>
<x:table xmlns:x="http://schemas.openxmlformats.org/spreadsheetml/2006/main" id="1" name="ChecklistTable" displayName="ChecklistTable" ref="A6:P42" headerRowCount="1" totalsRowCount="0" totalsRowShown="0">
  <x:tableColumns count="16">
    <x:tableColumn id="1" name="Task ID"/>
    <x:tableColumn id="2" name="Deliverable"/>
    <x:tableColumn id="3" name="Phase"/>
    <x:tableColumn id="4" name="Priority"/>
    <x:tableColumn id="5" name="Status"/>
    <x:tableColumn id="6" name="Responsible role"/>
    <x:tableColumn id="7" name="Prerequisite IDs"/>
    <x:tableColumn id="8" name="Dependency check"/>
    <x:tableColumn id="9" name="Acceptance criterion"/>
    <x:tableColumn id="10" name="Evidence paths / URLs"/>
    <x:tableColumn id="11" name="Target date"/>
    <x:tableColumn id="12" name="Personal notes"/>
    <x:tableColumn id="13" name="Chapter route IDs"/>
    <x:tableColumn id="14" name="Related reader URL"/>
    <x:tableColumn id="15" name="Verified flag"/>
    <x:tableColumn id="16" name="Ready to start"/>
  </x:tableColumns>
  <x:tableStyleInfo name="TableStyleMedium2" showFirstColumn="0" showLastColumn="0" showRowStripes="1" showColumnStripes="0"/>
</x:table>
</file>

<file path=xl/tables/table2.xml><?xml version="1.0" encoding="utf-8"?>
<x:table xmlns:x="http://schemas.openxmlformats.org/spreadsheetml/2006/main" id="2" name="DependenciesTable" displayName="DependenciesTable" ref="A6:F50" headerRowCount="1" totalsRowCount="0" totalsRowShown="0">
  <x:tableColumns count="6">
    <x:tableColumn id="1" name="Task ID"/>
    <x:tableColumn id="2" name="Prerequisite ID"/>
    <x:tableColumn id="3" name="Prerequisite deliverable"/>
    <x:tableColumn id="4" name="Prerequisite status"/>
    <x:tableColumn id="5" name="Satisfied"/>
    <x:tableColumn id="6" name="Reader URL"/>
  </x:tableColumns>
  <x:tableStyleInfo name="TableStyleMedium2" showFirstColumn="0" showLastColumn="0" showRowStripes="1" showColumnStripes="0"/>
</x:table>
</file>

<file path=xl/tables/table3.xml><?xml version="1.0" encoding="utf-8"?>
<x:table xmlns:x="http://schemas.openxmlformats.org/spreadsheetml/2006/main" id="3" name="ChapterMapTable" displayName="ChapterMapTable" ref="A6:K23" headerRowCount="1" totalsRowCount="0" totalsRowShown="0">
  <x:tableColumns count="11">
    <x:tableColumn id="1" name="Chapter ID"/>
    <x:tableColumn id="2" name="Book movement"/>
    <x:tableColumn id="3" name="Chapter route"/>
    <x:tableColumn id="4" name="Manuscript state"/>
    <x:tableColumn id="5" name="Article slugs"/>
    <x:tableColumn id="6" name="Referenced source slugs"/>
    <x:tableColumn id="7" name="Source count"/>
    <x:tableColumn id="8" name="Related task IDs"/>
    <x:tableColumn id="9" name="Author review"/>
    <x:tableColumn id="10" name="Purpose and transition"/>
    <x:tableColumn id="11" name="Reader URL"/>
  </x:tableColumns>
  <x:tableStyleInfo name="TableStyleMedium2" showFirstColumn="0" showLastColumn="0" showRowStripes="1" showColumnStripes="0"/>
</x:table>
</file>

<file path=xl/tables/table4.xml><?xml version="1.0" encoding="utf-8"?>
<x:table xmlns:x="http://schemas.openxmlformats.org/spreadsheetml/2006/main" id="4" name="SourceCoverageTable" displayName="SourceCoverageTable" ref="A6:N360" headerRowCount="1" totalsRowCount="0" totalsRowShown="0">
  <x:tableColumns count="14">
    <x:tableColumn id="1" name="Conversation"/>
    <x:tableColumn id="2" name="Original filename"/>
    <x:tableColumn id="3" name="Export-start date"/>
    <x:tableColumn id="4" name="Top-level turns"/>
    <x:tableColumn id="5" name="Article slugs"/>
    <x:tableColumn id="6" name="Article-link count"/>
    <x:tableColumn id="7" name="Selected turn numbers"/>
    <x:tableColumn id="8" name="Anchor count"/>
    <x:tableColumn id="9" name="Chapter IDs"/>
    <x:tableColumn id="10" name="Recorded coverage"/>
    <x:tableColumn id="11" name="Reading status"/>
    <x:tableColumn id="12" name="SHA-256"/>
    <x:tableColumn id="13" name="Original bytes"/>
    <x:tableColumn id="14" name="Reader URL"/>
  </x:tableColumns>
  <x:tableStyleInfo name="TableStyleMedium2" showFirstColumn="0" showLastColumn="0" showRowStripes="1" showColumnStripes="0"/>
</x:table>
</file>

<file path=xl/tables/table5.xml><?xml version="1.0" encoding="utf-8"?>
<x:table xmlns:x="http://schemas.openxmlformats.org/spreadsheetml/2006/main" id="9" name="TextualEvidenceTable" displayName="TextualEvidenceTable" ref="A6:J41" headerRowCount="1" totalsRowCount="0" totalsRowShown="0">
  <x:tableColumns count="10">
    <x:tableColumn id="1" name="Witness / text"/>
    <x:tableColumn id="2" name="Passage locator"/>
    <x:tableColumn id="3" name="Role in this reading"/>
    <x:tableColumn id="4" name="Comparison"/>
    <x:tableColumn id="5" name="What is not established"/>
    <x:tableColumn id="6" name="Source / translator"/>
    <x:tableColumn id="7" name="Access scope"/>
    <x:tableColumn id="8" name="Source URL"/>
    <x:tableColumn id="9" name="Surviving channel / ID"/>
    <x:tableColumn id="10" name="Next investigation"/>
  </x:tableColumns>
  <x:tableStyleInfo name="TableStyleMedium2" showFirstColumn="0" showLastColumn="0" showRowStripes="1" showColumnStripes="0"/>
</x:table>
</file>

<file path=xl/tables/table6.xml><?xml version="1.0" encoding="utf-8"?>
<x:table xmlns:x="http://schemas.openxmlformats.org/spreadsheetml/2006/main" id="6" name="IntellectualDebtsTable" displayName="IntellectualDebtsTable" ref="A6:F13" headerRowCount="1" totalsRowCount="0" totalsRowShown="0">
  <x:tableColumns count="6">
    <x:tableColumn id="1" name="Name"/>
    <x:tableColumn id="2" name="Type of relationship"/>
    <x:tableColumn id="3" name="Documented contribution"/>
    <x:tableColumn id="4" name="Attribution boundary"/>
    <x:tableColumn id="5" name="Original passages"/>
    <x:tableColumn id="6" name="Source URLs"/>
  </x:tableColumns>
  <x:tableStyleInfo name="TableStyleMedium2" showFirstColumn="0" showLastColumn="0" showRowStripes="1" showColumnStripes="0"/>
</x:table>
</file>

<file path=xl/tables/table7.xml><?xml version="1.0" encoding="utf-8"?>
<x:table xmlns:x="http://schemas.openxmlformats.org/spreadsheetml/2006/main" id="7" name="ReleaseGatesTable" displayName="ReleaseGatesTable" ref="A6:E13" headerRowCount="1" totalsRowCount="0" totalsRowShown="0">
  <x:tableColumns count="5">
    <x:tableColumn id="1" name="Gate ID"/>
    <x:tableColumn id="2" name="Gate"/>
    <x:tableColumn id="3" name="Acceptance evidence required"/>
    <x:tableColumn id="4" name="Assessment"/>
    <x:tableColumn id="5" name="Related tasks"/>
  </x:tableColumns>
  <x:tableStyleInfo name="TableStyleMedium2" showFirstColumn="0" showLastColumn="0" showRowStripes="1" showColumnStripes="0"/>
</x:table>
</file>

<file path=xl/tables/table8.xml><?xml version="1.0" encoding="utf-8"?>
<x:table xmlns:x="http://schemas.openxmlformats.org/spreadsheetml/2006/main" id="8" name="ReadMeTable" displayName="ReadMeTable" ref="A6:B21" headerRowCount="1" totalsRowCount="0" totalsRowShown="0">
  <x:tableColumns count="2">
    <x:tableColumn id="1" name="Field"/>
    <x:tableColumn id="2" name="Meaning / sour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130139ef2bd4ca8" /></Relationships>
</file>

<file path=xl/worksheets/_rels/sheet2.xml.rels>&#65279;<?xml version="1.0" encoding="utf-8"?><Relationships xmlns="http://schemas.openxmlformats.org/package/2006/relationships"><Relationship Type="http://schemas.openxmlformats.org/officeDocument/2006/relationships/table" Target="/xl/tables/table1.xml" Id="Rd1c39240d74644ab" /></Relationships>
</file>

<file path=xl/worksheets/_rels/sheet3.xml.rels>&#65279;<?xml version="1.0" encoding="utf-8"?><Relationships xmlns="http://schemas.openxmlformats.org/package/2006/relationships"><Relationship Type="http://schemas.openxmlformats.org/officeDocument/2006/relationships/table" Target="/xl/tables/table2.xml" Id="R035e1f1565db42d6" /></Relationships>
</file>

<file path=xl/worksheets/_rels/sheet4.xml.rels>&#65279;<?xml version="1.0" encoding="utf-8"?><Relationships xmlns="http://schemas.openxmlformats.org/package/2006/relationships"><Relationship Type="http://schemas.openxmlformats.org/officeDocument/2006/relationships/table" Target="/xl/tables/table3.xml" Id="R5a5b919f591741a2" /></Relationships>
</file>

<file path=xl/worksheets/_rels/sheet5.xml.rels>&#65279;<?xml version="1.0" encoding="utf-8"?><Relationships xmlns="http://schemas.openxmlformats.org/package/2006/relationships"><Relationship Type="http://schemas.openxmlformats.org/officeDocument/2006/relationships/table" Target="/xl/tables/table4.xml" Id="Rb1209acb76d3430a" /></Relationships>
</file>

<file path=xl/worksheets/_rels/sheet6.xml.rels>&#65279;<?xml version="1.0" encoding="utf-8"?><Relationships xmlns="http://schemas.openxmlformats.org/package/2006/relationships"><Relationship Type="http://schemas.openxmlformats.org/officeDocument/2006/relationships/table" Target="/xl/tables/table5.xml" Id="R16d8bf625b794cf7" /></Relationships>
</file>

<file path=xl/worksheets/_rels/sheet7.xml.rels>&#65279;<?xml version="1.0" encoding="utf-8"?><Relationships xmlns="http://schemas.openxmlformats.org/package/2006/relationships"><Relationship Type="http://schemas.openxmlformats.org/officeDocument/2006/relationships/table" Target="/xl/tables/table6.xml" Id="Rcf2b919920d64ddf" /></Relationships>
</file>

<file path=xl/worksheets/_rels/sheet8.xml.rels>&#65279;<?xml version="1.0" encoding="utf-8"?><Relationships xmlns="http://schemas.openxmlformats.org/package/2006/relationships"><Relationship Type="http://schemas.openxmlformats.org/officeDocument/2006/relationships/table" Target="/xl/tables/table7.xml" Id="R3253eb8a136c4b7d" /></Relationships>
</file>

<file path=xl/worksheets/_rels/sheet9.xml.rels>&#65279;<?xml version="1.0" encoding="utf-8"?><Relationships xmlns="http://schemas.openxmlformats.org/package/2006/relationships"><Relationship Type="http://schemas.openxmlformats.org/officeDocument/2006/relationships/table" Target="/xl/tables/table8.xml" Id="R07a578b40ce74458" /></Relationships>
</file>

<file path=xl/worksheets/sheet1.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42" customHeight="1">
      <x:c r="A1" s="65" t="str">
        <x:v>THEOLOGY | Research-to-book roadmap</x:v>
      </x:c>
      <x:c r="B1" s="65"/>
      <x:c r="C1" s="65"/>
      <x:c r="D1" s="65"/>
      <x:c r="E1" s="65"/>
      <x:c r="F1" s="65"/>
      <x:c r="G1" s="65"/>
      <x:c r="H1" s="65"/>
      <x:c r="I1" s="65"/>
      <x:c r="J1" s="65"/>
      <x:c r="K1" s="65"/>
      <x:c r="L1" s="65"/>
    </x:row>
    <x:row r="2" ht="24" customHeight="1">
      <x:c r="A2" s="67" t="str">
        <x:v>A durable checklist, source map and dependency plan. Progress means verified deliverables, not a percentage of theological truth or manuscript completion.</x:v>
      </x:c>
      <x:c r="B2" s="67"/>
      <x:c r="C2" s="67"/>
      <x:c r="D2" s="67"/>
      <x:c r="E2" s="67"/>
      <x:c r="F2" s="67"/>
      <x:c r="G2" s="67"/>
      <x:c r="H2" s="67"/>
      <x:c r="I2" s="67"/>
      <x:c r="J2" s="67"/>
      <x:c r="K2" s="67"/>
      <x:c r="L2" s="67"/>
    </x:row>
    <x:row r="3" ht="24" customHeight="1">
      <x:c r="A3" s="67"/>
      <x:c r="B3" s="67"/>
      <x:c r="C3" s="67"/>
      <x:c r="D3" s="67"/>
      <x:c r="E3" s="67"/>
      <x:c r="F3" s="67"/>
      <x:c r="G3" s="67"/>
      <x:c r="H3" s="67"/>
      <x:c r="I3" s="67"/>
      <x:c r="J3" s="67"/>
      <x:c r="K3" s="67"/>
      <x:c r="L3" s="67"/>
    </x:row>
    <x:row r="4">
      <x:c r="A4" s="36"/>
      <x:c r="B4" s="36"/>
      <x:c r="C4" s="36"/>
      <x:c r="D4" s="36"/>
      <x:c r="E4" s="36"/>
      <x:c r="F4" s="36"/>
      <x:c r="G4" s="36"/>
      <x:c r="H4" s="36"/>
      <x:c r="I4" s="36"/>
      <x:c r="J4" s="36"/>
      <x:c r="K4" s="36"/>
      <x:c r="L4" s="36"/>
    </x:row>
    <x:row r="5" ht="34" customHeight="1">
      <x:c r="A5" s="68" t="str">
        <x:v>Content edition: 2026.09.06-james-transmission-1</x:v>
      </x:c>
      <x:c r="B5" s="64"/>
      <x:c r="C5" s="64"/>
      <x:c r="D5" s="64"/>
      <x:c r="E5" s="36" t="str">
        <x:v>As of 2026-09-06</x:v>
      </x:c>
      <x:c r="F5" s="36"/>
      <x:c r="G5" s="36"/>
      <x:c r="H5" s="36"/>
      <x:c r="I5" s="36"/>
      <x:c r="J5" s="36"/>
      <x:c r="K5" s="36"/>
      <x:c r="L5" s="36"/>
    </x:row>
    <x:row r="6">
      <x:c r="A6" s="36"/>
      <x:c r="B6" s="36"/>
      <x:c r="C6" s="36"/>
      <x:c r="D6" s="36"/>
      <x:c r="E6" s="36"/>
      <x:c r="F6" s="36"/>
      <x:c r="G6" s="36"/>
      <x:c r="H6" s="36"/>
      <x:c r="I6" s="36"/>
      <x:c r="J6" s="36"/>
      <x:c r="K6" s="36"/>
      <x:c r="L6" s="36"/>
    </x:row>
    <x:row r="7" ht="24" customHeight="1">
      <x:c r="A7" s="17" t="str">
        <x:v>DELIVERABLES</x:v>
      </x:c>
      <x:c r="B7" s="17"/>
      <x:c r="C7" s="17"/>
      <x:c r="D7" s="17" t="str">
        <x:v>VERIFIED OUTPUTS</x:v>
      </x:c>
      <x:c r="E7" s="17"/>
      <x:c r="F7" s="17"/>
      <x:c r="G7" s="17" t="str">
        <x:v>READY TO START</x:v>
      </x:c>
      <x:c r="H7" s="17"/>
      <x:c r="I7" s="17"/>
      <x:c r="J7" s="17" t="str">
        <x:v>SOURCE RECORDS</x:v>
      </x:c>
      <x:c r="K7" s="17"/>
      <x:c r="L7" s="17"/>
    </x:row>
    <x:row r="8" ht="25" customHeight="1">
      <x:c r="A8" s="60" t="n">
        <x:f>COUNTA(Checklist!A7:A42)</x:f>
        <x:v>36</x:v>
      </x:c>
      <x:c r="B8" s="60"/>
      <x:c r="C8" s="60"/>
      <x:c r="D8" s="60" t="n">
        <x:f>SUM(Checklist!O7:O42)</x:f>
        <x:v>8</x:v>
      </x:c>
      <x:c r="E8" s="60"/>
      <x:c r="F8" s="60"/>
      <x:c r="G8" s="60" t="n">
        <x:f>COUNTIF(Checklist!P7:P42,"Ready")</x:f>
        <x:v>7</x:v>
      </x:c>
      <x:c r="H8" s="60"/>
      <x:c r="I8" s="60"/>
      <x:c r="J8" s="60" t="n">
        <x:f>COUNTA('Source Coverage'!A7:A360)</x:f>
        <x:v>354</x:v>
      </x:c>
      <x:c r="K8" s="60"/>
      <x:c r="L8" s="60"/>
    </x:row>
    <x:row r="9" ht="25" customHeight="1">
      <x:c r="A9" s="60"/>
      <x:c r="B9" s="60"/>
      <x:c r="C9" s="60"/>
      <x:c r="D9" s="60"/>
      <x:c r="E9" s="60"/>
      <x:c r="F9" s="60"/>
      <x:c r="G9" s="60"/>
      <x:c r="H9" s="60"/>
      <x:c r="I9" s="60"/>
      <x:c r="J9" s="60"/>
      <x:c r="K9" s="60"/>
      <x:c r="L9" s="60"/>
    </x:row>
    <x:row r="10">
      <x:c r="A10" s="36"/>
      <x:c r="B10" s="36"/>
      <x:c r="C10" s="36"/>
      <x:c r="D10" s="36"/>
      <x:c r="E10" s="36"/>
      <x:c r="F10" s="36"/>
      <x:c r="G10" s="36"/>
      <x:c r="H10" s="36"/>
      <x:c r="I10" s="36"/>
      <x:c r="J10" s="36"/>
      <x:c r="K10" s="36"/>
      <x:c r="L10" s="36"/>
    </x:row>
    <x:row r="11" ht="26" customHeight="1">
      <x:c r="A11" s="56" t="str">
        <x:v>Begin with Checklist. Change a local status to see Dependencies and Ready to start recalculate. Chapter Map and Source Coverage show the recorded basis of the book; Release Gates remain unassessed until evidence and author review are recorded.</x:v>
      </x:c>
      <x:c r="B11" s="56"/>
      <x:c r="C11" s="56"/>
      <x:c r="D11" s="56"/>
      <x:c r="E11" s="56"/>
      <x:c r="F11" s="56"/>
      <x:c r="G11" s="56"/>
      <x:c r="H11" s="56"/>
      <x:c r="I11" s="56"/>
      <x:c r="J11" s="56"/>
      <x:c r="K11" s="56"/>
      <x:c r="L11" s="56"/>
    </x:row>
    <x:row r="12" ht="26" customHeight="1">
      <x:c r="A12" s="56"/>
      <x:c r="B12" s="56"/>
      <x:c r="C12" s="56"/>
      <x:c r="D12" s="56"/>
      <x:c r="E12" s="56"/>
      <x:c r="F12" s="56"/>
      <x:c r="G12" s="56"/>
      <x:c r="H12" s="56"/>
      <x:c r="I12" s="56"/>
      <x:c r="J12" s="56"/>
      <x:c r="K12" s="56"/>
      <x:c r="L12" s="56"/>
    </x:row>
    <x:row r="13">
      <x:c r="A13" s="36"/>
      <x:c r="B13" s="36"/>
      <x:c r="C13" s="36"/>
      <x:c r="D13" s="36"/>
      <x:c r="E13" s="36"/>
      <x:c r="F13" s="36"/>
      <x:c r="G13" s="36"/>
      <x:c r="H13" s="36"/>
      <x:c r="I13" s="36"/>
      <x:c r="J13" s="36"/>
      <x:c r="K13" s="36"/>
      <x:c r="L13" s="36"/>
    </x:row>
    <x:row r="14" ht="26" customHeight="1">
      <x:c r="A14" s="52" t="str">
        <x:v>Work phase</x:v>
      </x:c>
      <x:c r="B14" s="52"/>
      <x:c r="C14" s="52"/>
      <x:c r="D14" s="52"/>
      <x:c r="E14" s="52" t="str">
        <x:v>Tasks</x:v>
      </x:c>
      <x:c r="F14" s="52" t="str">
        <x:v>Verified</x:v>
      </x:c>
      <x:c r="G14" s="36"/>
      <x:c r="H14" s="36"/>
      <x:c r="I14" s="36"/>
      <x:c r="J14" s="36"/>
      <x:c r="K14" s="36"/>
      <x:c r="L14" s="36"/>
    </x:row>
    <x:row r="15" ht="35" customHeight="1">
      <x:c r="A15" s="50" t="str">
        <x:v>Preserve and map the corpus</x:v>
      </x:c>
      <x:c r="B15" s="50"/>
      <x:c r="C15" s="50"/>
      <x:c r="D15" s="50"/>
      <x:c r="E15" s="36" t="n">
        <x:f>COUNTIF(Checklist!$C$7:$C$42,A15)</x:f>
        <x:v>7</x:v>
      </x:c>
      <x:c r="F15" s="36" t="n">
        <x:f>SUMIF(Checklist!$C$7:$C$42,A15,Checklist!$O$7:$O$42)</x:f>
        <x:v>6</x:v>
      </x:c>
      <x:c r="G15" s="36"/>
      <x:c r="H15" s="36"/>
      <x:c r="I15" s="36"/>
      <x:c r="J15" s="36"/>
      <x:c r="K15" s="36"/>
      <x:c r="L15" s="36"/>
    </x:row>
    <x:row r="16" ht="35" customHeight="1">
      <x:c r="A16" s="50" t="str">
        <x:v>Assemble and verify passages</x:v>
      </x:c>
      <x:c r="B16" s="50"/>
      <x:c r="C16" s="50"/>
      <x:c r="D16" s="50"/>
      <x:c r="E16" s="36" t="n">
        <x:f>COUNTIF(Checklist!$C$7:$C$42,A16)</x:f>
        <x:v>10</x:v>
      </x:c>
      <x:c r="F16" s="36" t="n">
        <x:f>SUMIF(Checklist!$C$7:$C$42,A16,Checklist!$O$7:$O$42)</x:f>
        <x:v>1</x:v>
      </x:c>
      <x:c r="G16" s="36"/>
      <x:c r="H16" s="36"/>
      <x:c r="I16" s="36"/>
      <x:c r="J16" s="36"/>
      <x:c r="K16" s="36"/>
      <x:c r="L16" s="36"/>
    </x:row>
    <x:row r="17" ht="35" customHeight="1">
      <x:c r="A17" s="50" t="str">
        <x:v>Develop complete arguments</x:v>
      </x:c>
      <x:c r="B17" s="50"/>
      <x:c r="C17" s="50"/>
      <x:c r="D17" s="50"/>
      <x:c r="E17" s="36" t="n">
        <x:f>COUNTIF(Checklist!$C$7:$C$42,A17)</x:f>
        <x:v>5</x:v>
      </x:c>
      <x:c r="F17" s="36" t="n">
        <x:f>SUMIF(Checklist!$C$7:$C$42,A17,Checklist!$O$7:$O$42)</x:f>
        <x:v>0</x:v>
      </x:c>
      <x:c r="G17" s="36"/>
      <x:c r="H17" s="36"/>
      <x:c r="I17" s="36"/>
      <x:c r="J17" s="36"/>
      <x:c r="K17" s="36"/>
      <x:c r="L17" s="36"/>
    </x:row>
    <x:row r="18" ht="35" customHeight="1">
      <x:c r="A18" s="50" t="str">
        <x:v>Connect the book</x:v>
      </x:c>
      <x:c r="B18" s="50"/>
      <x:c r="C18" s="50"/>
      <x:c r="D18" s="50"/>
      <x:c r="E18" s="36" t="n">
        <x:f>COUNTIF(Checklist!$C$7:$C$42,A18)</x:f>
        <x:v>3</x:v>
      </x:c>
      <x:c r="F18" s="36" t="n">
        <x:f>SUMIF(Checklist!$C$7:$C$42,A18,Checklist!$O$7:$O$42)</x:f>
        <x:v>1</x:v>
      </x:c>
      <x:c r="G18" s="36"/>
      <x:c r="H18" s="36"/>
      <x:c r="I18" s="36"/>
      <x:c r="J18" s="36"/>
      <x:c r="K18" s="36"/>
      <x:c r="L18" s="36"/>
    </x:row>
    <x:row r="19" ht="35" customHeight="1">
      <x:c r="A19" s="50" t="str">
        <x:v>Assemble chapter drafts</x:v>
      </x:c>
      <x:c r="B19" s="50"/>
      <x:c r="C19" s="50"/>
      <x:c r="D19" s="50"/>
      <x:c r="E19" s="36" t="n">
        <x:f>COUNTIF(Checklist!$C$7:$C$42,A19)</x:f>
        <x:v>2</x:v>
      </x:c>
      <x:c r="F19" s="36" t="n">
        <x:f>SUMIF(Checklist!$C$7:$C$42,A19,Checklist!$O$7:$O$42)</x:f>
        <x:v>0</x:v>
      </x:c>
      <x:c r="G19" s="36"/>
      <x:c r="H19" s="36"/>
      <x:c r="I19" s="36"/>
      <x:c r="J19" s="36"/>
      <x:c r="K19" s="36"/>
      <x:c r="L19" s="36"/>
    </x:row>
    <x:row r="20" ht="35" customHeight="1">
      <x:c r="A20" s="50" t="str">
        <x:v>Review meaning and presentation</x:v>
      </x:c>
      <x:c r="B20" s="50"/>
      <x:c r="C20" s="50"/>
      <x:c r="D20" s="50"/>
      <x:c r="E20" s="36" t="n">
        <x:f>COUNTIF(Checklist!$C$7:$C$42,A20)</x:f>
        <x:v>7</x:v>
      </x:c>
      <x:c r="F20" s="36" t="n">
        <x:f>SUMIF(Checklist!$C$7:$C$42,A20,Checklist!$O$7:$O$42)</x:f>
        <x:v>0</x:v>
      </x:c>
      <x:c r="G20" s="36"/>
      <x:c r="H20" s="36"/>
      <x:c r="I20" s="36"/>
      <x:c r="J20" s="36"/>
      <x:c r="K20" s="36"/>
      <x:c r="L20" s="36"/>
    </x:row>
    <x:row r="21" ht="35" customHeight="1">
      <x:c r="A21" s="50" t="str">
        <x:v>Prepare a stable edition</x:v>
      </x:c>
      <x:c r="B21" s="50"/>
      <x:c r="C21" s="50"/>
      <x:c r="D21" s="50"/>
      <x:c r="E21" s="36" t="n">
        <x:f>COUNTIF(Checklist!$C$7:$C$42,A21)</x:f>
        <x:v>2</x:v>
      </x:c>
      <x:c r="F21" s="36" t="n">
        <x:f>SUMIF(Checklist!$C$7:$C$42,A21,Checklist!$O$7:$O$42)</x:f>
        <x:v>0</x:v>
      </x:c>
      <x:c r="G21" s="36"/>
      <x:c r="H21" s="36"/>
      <x:c r="I21" s="36"/>
      <x:c r="J21" s="36"/>
      <x:c r="K21" s="36"/>
      <x:c r="L21" s="36"/>
    </x:row>
    <x:row r="22">
      <x:c r="A22" s="36"/>
      <x:c r="B22" s="36"/>
      <x:c r="C22" s="36"/>
      <x:c r="D22" s="36"/>
      <x:c r="E22" s="36"/>
      <x:c r="F22" s="36"/>
      <x:c r="G22" s="36"/>
      <x:c r="H22" s="36"/>
      <x:c r="I22" s="36"/>
      <x:c r="J22" s="36"/>
      <x:c r="K22" s="36"/>
      <x:c r="L22" s="36"/>
    </x:row>
    <x:row r="23">
      <x:c r="A23" s="36"/>
      <x:c r="B23" s="36"/>
      <x:c r="C23" s="36"/>
      <x:c r="D23" s="36"/>
      <x:c r="E23" s="36"/>
      <x:c r="F23" s="36"/>
      <x:c r="G23" s="36"/>
      <x:c r="H23" s="36"/>
      <x:c r="I23" s="36"/>
      <x:c r="J23" s="36"/>
      <x:c r="K23" s="36"/>
      <x:c r="L23" s="36"/>
    </x:row>
    <x:row r="24">
      <x:c r="A24" s="36" t="str">
        <x:v>Sources linked to developed articles</x:v>
      </x:c>
      <x:c r="B24" s="36"/>
      <x:c r="C24" s="36"/>
      <x:c r="D24" s="36"/>
      <x:c r="E24" s="36"/>
      <x:c r="F24" s="36" t="n">
        <x:f>COUNTIF('Source Coverage'!F7:F360,"&gt;0")</x:f>
        <x:v>28</x:v>
      </x:c>
      <x:c r="G24" s="36"/>
      <x:c r="H24" s="36"/>
      <x:c r="I24" s="36"/>
      <x:c r="J24" s="36"/>
      <x:c r="K24" s="36"/>
      <x:c r="L24" s="36"/>
    </x:row>
    <x:row r="25">
      <x:c r="A25" s="36" t="str">
        <x:v>Sources with selected turn anchors</x:v>
      </x:c>
      <x:c r="B25" s="36"/>
      <x:c r="C25" s="36"/>
      <x:c r="D25" s="36"/>
      <x:c r="E25" s="36"/>
      <x:c r="F25" s="36" t="n">
        <x:f>COUNTIF('Source Coverage'!H7:H360,"&gt;0")</x:f>
        <x:v>13</x:v>
      </x:c>
      <x:c r="G25" s="36"/>
      <x:c r="H25" s="36"/>
      <x:c r="I25" s="36"/>
      <x:c r="J25" s="36"/>
      <x:c r="K25" s="36"/>
      <x:c r="L25" s="36"/>
    </x:row>
    <x:row r="26">
      <x:c r="A26" s="36" t="str">
        <x:v>Proposed chapter routes</x:v>
      </x:c>
      <x:c r="B26" s="36"/>
      <x:c r="C26" s="36"/>
      <x:c r="D26" s="36"/>
      <x:c r="E26" s="36"/>
      <x:c r="F26" s="36" t="n">
        <x:f>COUNTA('Chapter Map'!A7:A23)</x:f>
        <x:v>17</x:v>
      </x:c>
      <x:c r="G26" s="36"/>
      <x:c r="H26" s="36"/>
      <x:c r="I26" s="36"/>
      <x:c r="J26" s="36"/>
      <x:c r="K26" s="36"/>
      <x:c r="L26" s="36"/>
    </x:row>
    <x:row r="27">
      <x:c r="A27" s="36"/>
      <x:c r="B27" s="36"/>
      <x:c r="C27" s="36"/>
      <x:c r="D27" s="36"/>
      <x:c r="E27" s="36"/>
      <x:c r="F27" s="36"/>
      <x:c r="G27" s="36"/>
      <x:c r="H27" s="36"/>
      <x:c r="I27" s="36"/>
      <x:c r="J27" s="36"/>
      <x:c r="K27" s="36"/>
      <x:c r="L27" s="36"/>
    </x:row>
    <x:row r="28" ht="23" customHeight="1">
      <x:c r="A28" s="54" t="str">
        <x:v>NEW WORKED STUDIES: Jamesian succession and Thomas transmission/formation. The source-linked workbench compares 30 passage claims. Critical text collation, historical intermediates, and final author approval remain open.</x:v>
      </x:c>
      <x:c r="B28" s="54"/>
      <x:c r="C28" s="54"/>
      <x:c r="D28" s="54"/>
      <x:c r="E28" s="54"/>
      <x:c r="F28" s="54"/>
      <x:c r="G28" s="54"/>
      <x:c r="H28" s="54"/>
      <x:c r="I28" s="54"/>
      <x:c r="J28" s="54"/>
      <x:c r="K28" s="54"/>
      <x:c r="L28" s="54"/>
    </x:row>
    <x:row r="29" ht="23" customHeight="1">
      <x:c r="A29" s="54"/>
      <x:c r="B29" s="54"/>
      <x:c r="C29" s="54"/>
      <x:c r="D29" s="54"/>
      <x:c r="E29" s="54"/>
      <x:c r="F29" s="54"/>
      <x:c r="G29" s="54"/>
      <x:c r="H29" s="54"/>
      <x:c r="I29" s="54"/>
      <x:c r="J29" s="54"/>
      <x:c r="K29" s="54"/>
      <x:c r="L29" s="54"/>
    </x:row>
    <x:row r="30" ht="23" customHeight="1">
      <x:c r="A30" s="54"/>
      <x:c r="B30" s="54"/>
      <x:c r="C30" s="54"/>
      <x:c r="D30" s="54"/>
      <x:c r="E30" s="54"/>
      <x:c r="F30" s="54"/>
      <x:c r="G30" s="54"/>
      <x:c r="H30" s="54"/>
      <x:c r="I30" s="54"/>
      <x:c r="J30" s="54"/>
      <x:c r="K30" s="54"/>
      <x:c r="L30" s="54"/>
    </x:row>
    <x:row r="31">
      <x:c r="A31" s="36"/>
      <x:c r="B31" s="36"/>
      <x:c r="C31" s="36"/>
      <x:c r="D31" s="36"/>
      <x:c r="E31" s="36"/>
      <x:c r="F31" s="36"/>
      <x:c r="G31" s="36"/>
      <x:c r="H31" s="36"/>
      <x:c r="I31" s="36"/>
      <x:c r="J31" s="36"/>
      <x:c r="K31" s="36"/>
      <x:c r="L31" s="36"/>
    </x:row>
    <x:row r="32" ht="24" customHeight="1">
      <x:c r="A32" s="56" t="str">
        <x:v>SHARED VS PERSONAL: the published roadmap is repository-backed. Excel and browser-board edits are local planning copies. Only a reviewed repository change updates public statuses; only author review approves the manuscript.</x:v>
      </x:c>
      <x:c r="B32" s="56"/>
      <x:c r="C32" s="56"/>
      <x:c r="D32" s="56"/>
      <x:c r="E32" s="56"/>
      <x:c r="F32" s="56"/>
      <x:c r="G32" s="56"/>
      <x:c r="H32" s="56"/>
      <x:c r="I32" s="56"/>
      <x:c r="J32" s="56"/>
      <x:c r="K32" s="56"/>
      <x:c r="L32" s="56"/>
    </x:row>
    <x:row r="33" ht="24" customHeight="1">
      <x:c r="A33" s="56"/>
      <x:c r="B33" s="56"/>
      <x:c r="C33" s="56"/>
      <x:c r="D33" s="56"/>
      <x:c r="E33" s="56"/>
      <x:c r="F33" s="56"/>
      <x:c r="G33" s="56"/>
      <x:c r="H33" s="56"/>
      <x:c r="I33" s="56"/>
      <x:c r="J33" s="56"/>
      <x:c r="K33" s="56"/>
      <x:c r="L33" s="56"/>
    </x:row>
    <x:row r="34">
      <x:c r="A34" s="36"/>
      <x:c r="B34" s="36"/>
      <x:c r="C34" s="36"/>
      <x:c r="D34" s="36"/>
      <x:c r="E34" s="36"/>
      <x:c r="F34" s="36"/>
      <x:c r="G34" s="36"/>
      <x:c r="H34" s="36"/>
      <x:c r="I34" s="36"/>
      <x:c r="J34" s="36"/>
      <x:c r="K34" s="36"/>
      <x:c r="L34" s="36"/>
    </x:row>
    <x:row r="35">
      <x:c r="A35" s="36"/>
      <x:c r="B35" s="36"/>
      <x:c r="C35" s="36"/>
      <x:c r="D35" s="36"/>
      <x:c r="E35" s="36"/>
      <x:c r="F35" s="36"/>
      <x:c r="G35" s="36"/>
      <x:c r="H35" s="36"/>
      <x:c r="I35" s="36"/>
      <x:c r="J35" s="36"/>
      <x:c r="K35" s="36"/>
      <x:c r="L35" s="36"/>
    </x:row>
  </x:sheetData>
  <x:mergeCells>
    <x:mergeCell ref="A1:L1"/>
    <x:mergeCell ref="A2:L3"/>
    <x:mergeCell ref="A5:D5"/>
    <x:mergeCell ref="E5:H5"/>
    <x:mergeCell ref="A7:C7"/>
    <x:mergeCell ref="A8:C9"/>
    <x:mergeCell ref="D7:F7"/>
    <x:mergeCell ref="D8:F9"/>
    <x:mergeCell ref="G7:I7"/>
    <x:mergeCell ref="G8:I9"/>
    <x:mergeCell ref="J7:L7"/>
    <x:mergeCell ref="J8:L9"/>
    <x:mergeCell ref="A11:L12"/>
    <x:mergeCell ref="A14:D14"/>
    <x:mergeCell ref="A15:D15"/>
    <x:mergeCell ref="A16:D16"/>
    <x:mergeCell ref="A17:D17"/>
    <x:mergeCell ref="A18:D18"/>
    <x:mergeCell ref="A19:D19"/>
    <x:mergeCell ref="A20:D20"/>
    <x:mergeCell ref="A21:D21"/>
    <x:mergeCell ref="A24:E24"/>
    <x:mergeCell ref="A25:E25"/>
    <x:mergeCell ref="A26:E26"/>
    <x:mergeCell ref="A28:L30"/>
    <x:mergeCell ref="A32:L33"/>
  </x:mergeCells>
  <x:pageMargins left="0.7" right="0.7" top="0.75" bottom="0.75" header="0.3" footer="0.3"/>
  <x:drawing xmlns:r="http://schemas.openxmlformats.org/officeDocument/2006/relationships" r:id="R7130139ef2bd4ca8"/>
</x:worksheet>
</file>

<file path=xl/worksheets/sheet2.xml><?xml version="1.0" encoding="utf-8"?>
<x:worksheet xmlns:x="http://schemas.openxmlformats.org/spreadsheetml/2006/main">
  <x:sheetFormatPr defaultRowHeight="15"/>
  <x:cols>
    <x:col min="1" max="1" width="25" hidden="0" customWidth="1"/>
    <x:col min="2" max="2" width="40" hidden="0" customWidth="1"/>
    <x:col min="3" max="3" width="30" hidden="0" customWidth="1"/>
    <x:col min="4" max="4" width="12" hidden="0" customWidth="1"/>
    <x:col min="5" max="5" width="20" hidden="0" customWidth="1"/>
    <x:col min="6" max="6" width="29" hidden="0" customWidth="1"/>
    <x:col min="7" max="7" width="26" hidden="0" customWidth="1"/>
    <x:col min="8" max="8" width="25" hidden="0" customWidth="1"/>
    <x:col min="9" max="9" width="55" hidden="0" customWidth="1"/>
    <x:col min="10" max="10" width="50" hidden="0" customWidth="1"/>
    <x:col min="11" max="11" width="15" hidden="0" customWidth="1"/>
    <x:col min="12" max="12" width="42" hidden="0" customWidth="1"/>
    <x:col min="13" max="13" width="29" hidden="0" customWidth="1"/>
    <x:col min="14" max="14" width="55" hidden="0" customWidth="1"/>
    <x:col min="15" max="15" width="14" hidden="0" customWidth="1"/>
    <x:col min="16" max="16" width="16" hidden="0" customWidth="1"/>
  </x:cols>
  <x:sheetData>
    <x:row r="1" ht="36" customHeight="1">
      <x:c r="A1" s="69" t="str">
        <x:v>Theology | Long-term deliverables</x:v>
      </x:c>
      <x:c r="B1" s="69"/>
      <x:c r="C1" s="69"/>
      <x:c r="D1" s="69"/>
      <x:c r="E1" s="69"/>
      <x:c r="F1" s="69"/>
      <x:c r="G1" s="69"/>
      <x:c r="H1" s="69"/>
      <x:c r="I1" s="69"/>
      <x:c r="J1" s="69"/>
      <x:c r="K1" s="69"/>
      <x:c r="L1" s="69"/>
      <x:c r="M1" s="69"/>
      <x:c r="N1" s="69"/>
      <x:c r="O1" s="69"/>
      <x:c r="P1" s="69"/>
    </x:row>
    <x:row r="2" ht="22" customHeight="1">
      <x:c r="A2" s="71" t="str">
        <x:v>Status, priority, role, target date and personal notes can be edited here. These edits do not write to GitHub. Verified output applies only to the acceptance criterion in that row, not to the truth of an argument.</x:v>
      </x:c>
      <x:c r="B2" s="71"/>
      <x:c r="C2" s="71"/>
      <x:c r="D2" s="71"/>
      <x:c r="E2" s="71"/>
      <x:c r="F2" s="71"/>
      <x:c r="G2" s="71"/>
      <x:c r="H2" s="71"/>
      <x:c r="I2" s="71"/>
      <x:c r="J2" s="71"/>
      <x:c r="K2" s="71"/>
      <x:c r="L2" s="71"/>
      <x:c r="M2" s="71"/>
      <x:c r="N2" s="71"/>
      <x:c r="O2" s="71"/>
      <x:c r="P2" s="71"/>
    </x:row>
    <x:row r="3" ht="22" customHeight="1">
      <x:c r="A3" s="71"/>
      <x:c r="B3" s="71"/>
      <x:c r="C3" s="71"/>
      <x:c r="D3" s="71"/>
      <x:c r="E3" s="71"/>
      <x:c r="F3" s="71"/>
      <x:c r="G3" s="71"/>
      <x:c r="H3" s="71"/>
      <x:c r="I3" s="71"/>
      <x:c r="J3" s="71"/>
      <x:c r="K3" s="71"/>
      <x:c r="L3" s="71"/>
      <x:c r="M3" s="71"/>
      <x:c r="N3" s="71"/>
      <x:c r="O3" s="71"/>
      <x:c r="P3" s="71"/>
    </x:row>
    <x:row r="4">
      <x:c r="A4" s="2"/>
      <x:c r="B4" s="2"/>
      <x:c r="C4" s="2"/>
      <x:c r="D4" s="2"/>
      <x:c r="E4" s="2"/>
      <x:c r="F4" s="2"/>
      <x:c r="G4" s="2"/>
      <x:c r="H4" s="2"/>
      <x:c r="I4" s="2"/>
      <x:c r="J4" s="2"/>
      <x:c r="K4" s="2"/>
      <x:c r="L4" s="2"/>
      <x:c r="M4" s="2"/>
      <x:c r="N4" s="2"/>
      <x:c r="O4" s="2"/>
      <x:c r="P4" s="2"/>
    </x:row>
    <x:row r="5" ht="20" customHeight="1">
      <x:c r="A5" s="72" t="str">
        <x:v>Content edition: 2026.09.06-james-transmission-1</x:v>
      </x:c>
      <x:c r="B5" s="14"/>
      <x:c r="C5" s="14"/>
      <x:c r="D5" s="14"/>
      <x:c r="E5" s="14"/>
      <x:c r="F5" s="14"/>
      <x:c r="G5" s="14"/>
      <x:c r="H5" s="14"/>
      <x:c r="I5" s="14"/>
      <x:c r="J5" s="14"/>
      <x:c r="K5" s="14"/>
      <x:c r="L5" s="14"/>
      <x:c r="M5" s="14"/>
      <x:c r="N5" s="14"/>
      <x:c r="O5" s="14"/>
      <x:c r="P5" s="14"/>
    </x:row>
    <x:row r="6" ht="32" customHeight="1">
      <x:c r="A6" s="18" t="str">
        <x:v>Task ID</x:v>
      </x:c>
      <x:c r="B6" s="18" t="str">
        <x:v>Deliverable</x:v>
      </x:c>
      <x:c r="C6" s="18" t="str">
        <x:v>Phase</x:v>
      </x:c>
      <x:c r="D6" s="18" t="str">
        <x:v>Priority</x:v>
      </x:c>
      <x:c r="E6" s="18" t="str">
        <x:v>Status</x:v>
      </x:c>
      <x:c r="F6" s="18" t="str">
        <x:v>Responsible role</x:v>
      </x:c>
      <x:c r="G6" s="18" t="str">
        <x:v>Prerequisite IDs</x:v>
      </x:c>
      <x:c r="H6" s="18" t="str">
        <x:v>Dependency check</x:v>
      </x:c>
      <x:c r="I6" s="18" t="str">
        <x:v>Acceptance criterion</x:v>
      </x:c>
      <x:c r="J6" s="18" t="str">
        <x:v>Evidence paths / URLs</x:v>
      </x:c>
      <x:c r="K6" s="18" t="str">
        <x:v>Target date</x:v>
      </x:c>
      <x:c r="L6" s="18" t="str">
        <x:v>Personal notes</x:v>
      </x:c>
      <x:c r="M6" s="18" t="str">
        <x:v>Chapter route IDs</x:v>
      </x:c>
      <x:c r="N6" s="18" t="str">
        <x:v>Related reader URL</x:v>
      </x:c>
      <x:c r="O6" s="18" t="str">
        <x:v>Verified flag</x:v>
      </x:c>
      <x:c r="P6" s="18" t="str">
        <x:v>Ready to start</x:v>
      </x:c>
    </x:row>
    <x:row r="7" ht="94" customHeight="1">
      <x:c r="A7" s="23" t="str">
        <x:v>archive-integrity</x:v>
      </x:c>
      <x:c r="B7" s="26" t="str">
        <x:v>Preserve and verify all 354 published chats</x:v>
      </x:c>
      <x:c r="C7" s="23" t="str">
        <x:v>Preserve and map the corpus</x:v>
      </x:c>
      <x:c r="D7" s="28" t="str">
        <x:v>P0</x:v>
      </x:c>
      <x:c r="E7" s="28" t="str">
        <x:v>Verified output</x:v>
      </x:c>
      <x:c r="F7" s="28" t="str">
        <x:v>Editorial/research work (unassigned)</x:v>
      </x:c>
      <x:c r="G7" s="23" t="str"/>
      <x:c r="H7" s="23" t="str">
        <x:f>IF(COUNTIFS(Dependencies!$A$7:$A$50,A7,Dependencies!$D$7:$D$50,"&lt;&gt;Verified output")=0,"Prerequisites met","Prerequisites open")</x:f>
        <x:v>Prerequisites met</x:v>
      </x:c>
      <x:c r="I7" s="23" t="str">
        <x:v>Every original chat matches the existing byte-count and SHA-256 manifest.</x:v>
      </x:c>
      <x:c r="J7" s="23" t="str">
        <x:v>https://github.com/v5ma/v5ma.github.io/commit/2a884f4eeaf3690a49adfeda1d43c9477065da76
theology-sources/manifest.json</x:v>
      </x:c>
      <x:c r="K7" s="30"/>
      <x:c r="L7" s="28" t="str">
        <x:v>Every original chat matches the existing byte-count and SHA-256 manifest.</x:v>
      </x:c>
      <x:c r="M7" s="23" t="str"/>
      <x:c r="N7" s="23" t="str">
        <x:v>https://v5ma.github.io/theology-wiki/san-reader.html?page=sources-index</x:v>
      </x:c>
      <x:c r="O7" s="23" t="n">
        <x:f>IF(E7="Verified output",1,0)</x:f>
        <x:v>1</x:v>
      </x:c>
      <x:c r="P7" s="23" t="str">
        <x:f>IF(AND(E7="Not started",H7="Prerequisites met"),"Ready","")</x:f>
      </x:c>
    </x:row>
    <x:row r="8" ht="94" customHeight="1">
      <x:c r="A8" s="23" t="str">
        <x:v>reader-baseline</x:v>
      </x:c>
      <x:c r="B8" s="26" t="str">
        <x:v>Retain tested source reading, search and bookmarks</x:v>
      </x:c>
      <x:c r="C8" s="23" t="str">
        <x:v>Preserve and map the corpus</x:v>
      </x:c>
      <x:c r="D8" s="28" t="str">
        <x:v>P0</x:v>
      </x:c>
      <x:c r="E8" s="28" t="str">
        <x:v>Verified output</x:v>
      </x:c>
      <x:c r="F8" s="28" t="str">
        <x:v>Editorial/research work (unassigned)</x:v>
      </x:c>
      <x:c r="G8" s="23" t="str"/>
      <x:c r="H8" s="23" t="str">
        <x:f>IF(COUNTIFS(Dependencies!$A$7:$A$50,A8,Dependencies!$D$7:$D$50,"&lt;&gt;Verified output")=0,"Prerequisites met","Prerequisites open")</x:f>
        <x:v>Prerequisites met</x:v>
      </x:c>
      <x:c r="I8" s="23" t="str">
        <x:v>Foundation reader functions have native HTTP browser test evidence.</x:v>
      </x:c>
      <x:c r="J8" s="23" t="str">
        <x:v>https://github.com/v5ma/v5ma.github.io/commit/2a884f4eeaf3690a49adfeda1d43c9477065da76
theology-wiki/tests/browser.py</x:v>
      </x:c>
      <x:c r="K8" s="30"/>
      <x:c r="L8" s="28" t="str">
        <x:v>Foundation reader functions have native HTTP browser test evidence.</x:v>
      </x:c>
      <x:c r="M8" s="23" t="str"/>
      <x:c r="N8" s="23" t="str">
        <x:v>https://v5ma.github.io/theology-wiki/san-reader.html?page=home</x:v>
      </x:c>
      <x:c r="O8" s="23" t="n">
        <x:f>IF(E8="Verified output",1,0)</x:f>
        <x:v>1</x:v>
      </x:c>
      <x:c r="P8" s="23" t="str">
        <x:f>IF(AND(E8="Not started",H8="Prerequisites met"),"Ready","")</x:f>
      </x:c>
    </x:row>
    <x:row r="9" ht="94" customHeight="1">
      <x:c r="A9" s="23" t="str">
        <x:v>contents-baseline</x:v>
      </x:c>
      <x:c r="B9" s="26" t="str">
        <x:v>Preserve seventeen proposed chapter routes</x:v>
      </x:c>
      <x:c r="C9" s="23" t="str">
        <x:v>Connect the book</x:v>
      </x:c>
      <x:c r="D9" s="28" t="str">
        <x:v>P1</x:v>
      </x:c>
      <x:c r="E9" s="28" t="str">
        <x:v>Verified output</x:v>
      </x:c>
      <x:c r="F9" s="28" t="str">
        <x:v>Editorial/research work (unassigned)</x:v>
      </x:c>
      <x:c r="G9" s="23" t="str"/>
      <x:c r="H9" s="23" t="str">
        <x:f>IF(COUNTIFS(Dependencies!$A$7:$A$50,A9,Dependencies!$D$7:$D$50,"&lt;&gt;Verified output")=0,"Prerequisites met","Prerequisites open")</x:f>
        <x:v>Prerequisites met</x:v>
      </x:c>
      <x:c r="I9" s="23" t="str">
        <x:v>Seventeen routes in five parts are navigable; no route is labeled a completed chapter.</x:v>
      </x:c>
      <x:c r="J9" s="23" t="str">
        <x:v>https://github.com/v5ma/v5ma.github.io/commit/2a884f4eeaf3690a49adfeda1d43c9477065da76
theology-wiki/data/foundations.json</x:v>
      </x:c>
      <x:c r="K9" s="30"/>
      <x:c r="L9" s="28" t="str">
        <x:v>Seventeen routes in five parts are navigable; no route is labeled a completed chapter.</x:v>
      </x:c>
      <x:c r="M9" s="23" t="str"/>
      <x:c r="N9" s="23" t="str">
        <x:v>https://v5ma.github.io/theology-wiki/san-reader.html?page=book-contents</x:v>
      </x:c>
      <x:c r="O9" s="23" t="n">
        <x:f>IF(E9="Verified output",1,0)</x:f>
        <x:v>1</x:v>
      </x:c>
      <x:c r="P9" s="23" t="str">
        <x:f>IF(AND(E9="Not started",H9="Prerequisites met"),"Ready","")</x:f>
      </x:c>
    </x:row>
    <x:row r="10" ht="94" customHeight="1">
      <x:c r="A10" s="23" t="str">
        <x:v>scope-baseline</x:v>
      </x:c>
      <x:c r="B10" s="26" t="str">
        <x:v>Preserve selected argument maps and author corrections</x:v>
      </x:c>
      <x:c r="C10" s="23" t="str">
        <x:v>Preserve and map the corpus</x:v>
      </x:c>
      <x:c r="D10" s="28" t="str">
        <x:v>P0</x:v>
      </x:c>
      <x:c r="E10" s="28" t="str">
        <x:v>Verified output</x:v>
      </x:c>
      <x:c r="F10" s="28" t="str">
        <x:v>Editorial/research work (unassigned)</x:v>
      </x:c>
      <x:c r="G10" s="23" t="str"/>
      <x:c r="H10" s="23" t="str">
        <x:f>IF(COUNTIFS(Dependencies!$A$7:$A$50,A10,Dependencies!$D$7:$D$50,"&lt;&gt;Verified output")=0,"Prerequisites met","Prerequisites open")</x:f>
        <x:v>Prerequisites met</x:v>
      </x:c>
      <x:c r="I10" s="23" t="str">
        <x:v>Nine selected dossiers expose 24 classified passages and preserve original speaker labels.</x:v>
      </x:c>
      <x:c r="J10" s="23" t="str">
        <x:v>https://github.com/v5ma/v5ma.github.io/commit/2a884f4eeaf3690a49adfeda1d43c9477065da76
theology-wiki/data/foundations.json</x:v>
      </x:c>
      <x:c r="K10" s="30"/>
      <x:c r="L10" s="28" t="str">
        <x:v>Nine selected dossiers expose 24 classified passages and preserve original speaker labels.</x:v>
      </x:c>
      <x:c r="M10" s="23" t="str"/>
      <x:c r="N10" s="23" t="str">
        <x:v>https://v5ma.github.io/theology-wiki/san-reader.html?page=tor-thomas-and-gnostic-transmission</x:v>
      </x:c>
      <x:c r="O10" s="23" t="n">
        <x:f>IF(E10="Verified output",1,0)</x:f>
        <x:v>1</x:v>
      </x:c>
      <x:c r="P10" s="23" t="str">
        <x:f>IF(AND(E10="Not started",H10="Prerequisites met"),"Ready","")</x:f>
      </x:c>
    </x:row>
    <x:row r="11" ht="94" customHeight="1">
      <x:c r="A11" s="23" t="str">
        <x:v>shared-roadmap</x:v>
      </x:c>
      <x:c r="B11" s="26" t="str">
        <x:v>Publish the durable roadmap and dependency checks</x:v>
      </x:c>
      <x:c r="C11" s="23" t="str">
        <x:v>Preserve and map the corpus</x:v>
      </x:c>
      <x:c r="D11" s="28" t="str">
        <x:v>P0</x:v>
      </x:c>
      <x:c r="E11" s="28" t="str">
        <x:v>Verified output</x:v>
      </x:c>
      <x:c r="F11" s="28" t="str">
        <x:v>Editorial/research work (unassigned)</x:v>
      </x:c>
      <x:c r="G11" s="23" t="str">
        <x:v>archive-integrity</x:v>
      </x:c>
      <x:c r="H11" s="23" t="str">
        <x:f>IF(COUNTIFS(Dependencies!$A$7:$A$50,A11,Dependencies!$D$7:$D$50,"&lt;&gt;Verified output")=0,"Prerequisites met","Prerequisites open")</x:f>
        <x:v>Prerequisites met</x:v>
      </x:c>
      <x:c r="I11" s="23" t="str">
        <x:v>A committed canonical plan drives the published checklist and an acyclic dependency graph; missing completion evidence fails validation.</x:v>
      </x:c>
      <x:c r="J11" s="23" t="str">
        <x:v>theology-wiki/editorial/roadmap.json
theology-wiki/tests/roadmap.test.cjs</x:v>
      </x:c>
      <x:c r="K11" s="30"/>
      <x:c r="L11" s="28" t="str">
        <x:v>A committed canonical plan drives the published checklist and an acyclic dependency graph; missing completion evidence fails validation.</x:v>
      </x:c>
      <x:c r="M11" s="23" t="str"/>
      <x:c r="N11" s="23" t="str">
        <x:v>https://v5ma.github.io/theology-wiki/san-reader.html?page=research-roadmap</x:v>
      </x:c>
      <x:c r="O11" s="23" t="n">
        <x:f>IF(E11="Verified output",1,0)</x:f>
        <x:v>1</x:v>
      </x:c>
      <x:c r="P11" s="23" t="str">
        <x:f>IF(AND(E11="Not started",H11="Prerequisites met"),"Ready","")</x:f>
      </x:c>
    </x:row>
    <x:row r="12" ht="94" customHeight="1">
      <x:c r="A12" s="23" t="str">
        <x:v>coverage-register</x:v>
      </x:c>
      <x:c r="B12" s="26" t="str">
        <x:v>Publish complete source-to-article and chapter coverage</x:v>
      </x:c>
      <x:c r="C12" s="23" t="str">
        <x:v>Preserve and map the corpus</x:v>
      </x:c>
      <x:c r="D12" s="28" t="str">
        <x:v>P0</x:v>
      </x:c>
      <x:c r="E12" s="28" t="str">
        <x:v>Verified output</x:v>
      </x:c>
      <x:c r="F12" s="28" t="str">
        <x:v>Editorial/research work (unassigned)</x:v>
      </x:c>
      <x:c r="G12" s="23" t="str">
        <x:v>archive-integrity</x:v>
      </x:c>
      <x:c r="H12" s="23" t="str">
        <x:f>IF(COUNTIFS(Dependencies!$A$7:$A$50,A12,Dependencies!$D$7:$D$50,"&lt;&gt;Verified output")=0,"Prerequisites met","Prerequisites open")</x:f>
        <x:v>Prerequisites met</x:v>
      </x:c>
      <x:c r="I12" s="23" t="str">
        <x:v>All 354 source rows are generated from actual article references and selected anchors; unlinked is never mislabeled unread.</x:v>
      </x:c>
      <x:c r="J12" s="23" t="str">
        <x:v>theology-wiki/data/source-coverage.json
theology-wiki/tests/roadmap.test.cjs</x:v>
      </x:c>
      <x:c r="K12" s="30"/>
      <x:c r="L12" s="28" t="str">
        <x:v>All 354 source rows are generated from actual article references and selected anchors; unlinked is never mislabeled unread.</x:v>
      </x:c>
      <x:c r="M12" s="23" t="str"/>
      <x:c r="N12" s="23" t="str">
        <x:v>https://v5ma.github.io/theology-wiki/san-reader.html?page=source-coverage</x:v>
      </x:c>
      <x:c r="O12" s="23" t="n">
        <x:f>IF(E12="Verified output",1,0)</x:f>
        <x:v>1</x:v>
      </x:c>
      <x:c r="P12" s="23" t="str">
        <x:f>IF(AND(E12="Not started",H12="Prerequisites met"),"Ready","")</x:f>
      </x:c>
    </x:row>
    <x:row r="13" ht="94" customHeight="1">
      <x:c r="A13" s="23" t="str">
        <x:v>planning-workbook</x:v>
      </x:c>
      <x:c r="B13" s="26" t="str">
        <x:v>Publish a checked Excel planning snapshot</x:v>
      </x:c>
      <x:c r="C13" s="23" t="str">
        <x:v>Preserve and map the corpus</x:v>
      </x:c>
      <x:c r="D13" s="28" t="str">
        <x:v>P1</x:v>
      </x:c>
      <x:c r="E13" s="28" t="str">
        <x:v>Verified output</x:v>
      </x:c>
      <x:c r="F13" s="28" t="str">
        <x:v>Editorial/research work (unassigned)</x:v>
      </x:c>
      <x:c r="G13" s="23" t="str">
        <x:v>shared-roadmap
coverage-register</x:v>
      </x:c>
      <x:c r="H13" s="23" t="str">
        <x:f>IF(COUNTIFS(Dependencies!$A$7:$A$50,A13,Dependencies!$D$7:$D$50,"&lt;&gt;Verified output")=0,"Prerequisites met","Prerequisites open")</x:f>
        <x:v>Prerequisites met</x:v>
      </x:c>
      <x:c r="I13" s="23" t="str">
        <x:v>The workbook includes task dependencies, chapter routes, all source rows and evidence; formula values and source-manifest hashes are checked.</x:v>
      </x:c>
      <x:c r="J13" s="23" t="str">
        <x:v>theology-wiki/planning/Theology-Research-Plan.xlsx
theology-wiki/planning/workbook-manifest.json</x:v>
      </x:c>
      <x:c r="K13" s="30"/>
      <x:c r="L13" s="28" t="str">
        <x:v>The workbook includes task dependencies, chapter routes, all source rows and evidence; formula values and source-manifest hashes are checked.</x:v>
      </x:c>
      <x:c r="M13" s="23" t="str"/>
      <x:c r="N13" s="23" t="str">
        <x:v>https://v5ma.github.io/theology-wiki/san-reader.html?page=research-roadmap</x:v>
      </x:c>
      <x:c r="O13" s="23" t="n">
        <x:f>IF(E13="Verified output",1,0)</x:f>
        <x:v>1</x:v>
      </x:c>
      <x:c r="P13" s="23" t="str">
        <x:f>IF(AND(E13="Not started",H13="Prerequisites met"),"Ready","")</x:f>
      </x:c>
    </x:row>
    <x:row r="14" ht="94" customHeight="1">
      <x:c r="A14" s="23" t="str">
        <x:v>melchizedek-first-pass</x:v>
      </x:c>
      <x:c r="B14" s="26" t="str">
        <x:v>Write the first passage-level Melchizedek comparison</x:v>
      </x:c>
      <x:c r="C14" s="23" t="str">
        <x:v>Assemble and verify passages</x:v>
      </x:c>
      <x:c r="D14" s="28" t="str">
        <x:v>P0</x:v>
      </x:c>
      <x:c r="E14" s="28" t="str">
        <x:v>Verified output</x:v>
      </x:c>
      <x:c r="F14" s="28" t="str">
        <x:v>Editorial/research work (unassigned)</x:v>
      </x:c>
      <x:c r="G14" s="23" t="str">
        <x:v>archive-integrity</x:v>
      </x:c>
      <x:c r="H14" s="23" t="str">
        <x:f>IF(COUNTIFS(Dependencies!$A$7:$A$50,A14,Dependencies!$D$7:$D$50,"&lt;&gt;Verified output")=0,"Prerequisites met","Prerequisites open")</x:f>
        <x:v>Prerequisites met</x:v>
      </x:c>
      <x:c r="I14" s="23" t="str">
        <x:v>Genesis 14, Psalm 110, Hebrews 7, 11Q13 and Nag Hammadi are compared with passage locators, access scopes, translation credit and original author-turn links.</x:v>
      </x:c>
      <x:c r="J14" s="23" t="str">
        <x:v>theology-wiki/content/developed/melchizedek-priesthood-and-transmission.md
theology-wiki/data/melchizedek-evidence.json</x:v>
      </x:c>
      <x:c r="K14" s="30"/>
      <x:c r="L14" s="28" t="str">
        <x:v>Genesis 14, Psalm 110, Hebrews 7, 11Q13 and Nag Hammadi are compared with passage locators, access scopes, translation credit and original author-turn links.</x:v>
      </x:c>
      <x:c r="M14" s="23" t="str">
        <x:v>thomas
teacher-identity</x:v>
      </x:c>
      <x:c r="N14" s="23" t="str">
        <x:v>https://v5ma.github.io/theology-wiki/san-reader.html?page=melchizedek-priesthood-and-transmission</x:v>
      </x:c>
      <x:c r="O14" s="23" t="n">
        <x:f>IF(E14="Verified output",1,0)</x:f>
        <x:v>1</x:v>
      </x:c>
      <x:c r="P14" s="23" t="str">
        <x:f>IF(AND(E14="Not started",H14="Prerequisites met"),"Ready","")</x:f>
      </x:c>
    </x:row>
    <x:row r="15" ht="100" customHeight="1">
      <x:c r="A15" s="23" t="str">
        <x:v>tor-version</x:v>
      </x:c>
      <x:c r="B15" s="26" t="str">
        <x:v>Keep both Teacher reconstructions legible</x:v>
      </x:c>
      <x:c r="C15" s="23" t="str">
        <x:v>Review meaning and presentation</x:v>
      </x:c>
      <x:c r="D15" s="28" t="str">
        <x:v>P0</x:v>
      </x:c>
      <x:c r="E15" s="28" t="str">
        <x:v>Author review</x:v>
      </x:c>
      <x:c r="F15" s="28" t="str">
        <x:v>Micah</x:v>
      </x:c>
      <x:c r="G15" s="23" t="str">
        <x:v>scope-baseline
melchizedek-first-pass</x:v>
      </x:c>
      <x:c r="H15" s="23" t="str">
        <x:f>IF(COUNTIFS(Dependencies!$A$7:$A$50,A15,Dependencies!$D$7:$D$50,"&lt;&gt;Verified output")=0,"Prerequisites met","Prerequisites open")</x:f>
        <x:v>Prerequisites met</x:v>
      </x:c>
      <x:c r="I15" s="23" t="str">
        <x:v>Confirm the June comparison and October identification are presented in their full strength, including the community/namesake explanation.</x:v>
      </x:c>
      <x:c r="J15" s="23" t="str">
        <x:v>theology-wiki/content/developed/daniel-jubilee-and-the-teachers-time.md</x:v>
      </x:c>
      <x:c r="K15" s="30"/>
      <x:c r="L15" s="28" t="str">
        <x:v>Review the separation of the illustrative 176 BCE model from the October 147 BCE appearance and 88 BCE death; assign a specific starting event and distinguish career, office and successor intervals.</x:v>
      </x:c>
      <x:c r="M15" s="23" t="str">
        <x:v>thomas</x:v>
      </x:c>
      <x:c r="N15" s="23" t="str">
        <x:v>https://v5ma.github.io/theology-wiki/san-reader.html?page=tor-thomas-and-gnostic-transmission
https://v5ma.github.io/theology-wiki/san-reader.html?page=daniel-jubilee-and-the-teachers-time</x:v>
      </x:c>
      <x:c r="O15" s="23" t="n">
        <x:f>IF(E15="Verified output",1,0)</x:f>
        <x:v>0</x:v>
      </x:c>
      <x:c r="P15" s="23" t="str">
        <x:f>IF(AND(E15="Not started",H15="Prerequisites met"),"Ready","")</x:f>
      </x:c>
    </x:row>
    <x:row r="16" ht="94" customHeight="1">
      <x:c r="A16" s="23" t="str">
        <x:v>thomas-passages</x:v>
      </x:c>
      <x:c r="B16" s="26" t="str">
        <x:v>Extend the Thomas passage comparison</x:v>
      </x:c>
      <x:c r="C16" s="23" t="str">
        <x:v>Assemble and verify passages</x:v>
      </x:c>
      <x:c r="D16" s="28" t="str">
        <x:v>P1</x:v>
      </x:c>
      <x:c r="E16" s="28" t="str">
        <x:v>Draft</x:v>
      </x:c>
      <x:c r="F16" s="28" t="str">
        <x:v>Editorial/research work (unassigned)</x:v>
      </x:c>
      <x:c r="G16" s="23" t="str">
        <x:v>archive-integrity</x:v>
      </x:c>
      <x:c r="H16" s="23" t="str">
        <x:f>IF(COUNTIFS(Dependencies!$A$7:$A$50,A16,Dependencies!$D$7:$D$50,"&lt;&gt;Verified output")=0,"Prerequisites met","Prerequisites open")</x:f>
        <x:v>Prerequisites met</x:v>
      </x:c>
      <x:c r="I16" s="23" t="str">
        <x:v>Compare additional passages with exact textual witnesses, differences and alternative transmission paths; do not infer identity from common adjectives.</x:v>
      </x:c>
      <x:c r="J16" s="23" t="str">
        <x:v>editorial/authorial-articles/thomas-sayings-and-transmission.md
editorial/transmission-evidence.json</x:v>
      </x:c>
      <x:c r="K16" s="30"/>
      <x:c r="L16" s="28" t="str">
        <x:v>Collate the relevant Greek and Coptic witnesses and review the full Gathercole/James-fragment critical editions. Distinguish institutional succession from changed interpretation; retain unresolved dependence alternatives.</x:v>
      </x:c>
      <x:c r="M16" s="23" t="str">
        <x:v>thomas</x:v>
      </x:c>
      <x:c r="N16" s="23" t="str">
        <x:v>https://v5ma.github.io/theology-wiki/san-reader.html?page=tor-thomas-and-gnostic-transmission
https://v5ma.github.io/theology-wiki/san-reader.html?page=thomas-sayings-and-transmission
https://v5ma.github.io/theology-wiki/san-reader.html?page=james-and-contested-succession</x:v>
      </x:c>
      <x:c r="O16" s="23" t="n">
        <x:f>IF(E16="Verified output",1,0)</x:f>
        <x:v>0</x:v>
      </x:c>
      <x:c r="P16" s="23" t="str">
        <x:f>IF(AND(E16="Not started",H16="Prerequisites met"),"Ready","")</x:f>
      </x:c>
    </x:row>
    <x:row r="17" ht="100" customHeight="1">
      <x:c r="A17" s="23" t="str">
        <x:v>melchizedek</x:v>
      </x:c>
      <x:c r="B17" s="26" t="str">
        <x:v>Collate and extend the first Melchizedek comparison</x:v>
      </x:c>
      <x:c r="C17" s="23" t="str">
        <x:v>Assemble and verify passages</x:v>
      </x:c>
      <x:c r="D17" s="28" t="str">
        <x:v>P1</x:v>
      </x:c>
      <x:c r="E17" s="28" t="str">
        <x:v>Not started</x:v>
      </x:c>
      <x:c r="F17" s="28" t="str">
        <x:v>Editorial/research work (unassigned)</x:v>
      </x:c>
      <x:c r="G17" s="23" t="str">
        <x:v>melchizedek-first-pass</x:v>
      </x:c>
      <x:c r="H17" s="23" t="str">
        <x:f>IF(COUNTIFS(Dependencies!$A$7:$A$50,A17,Dependencies!$D$7:$D$50,"&lt;&gt;Verified output")=0,"Prerequisites met","Prerequisites open")</x:f>
        <x:v>Prerequisites met</x:v>
      </x:c>
      <x:c r="I17" s="23" t="str">
        <x:v>Check the critical 11Q13 text and the printed Nag Hammadi edition, record variant readings, and compare the two-messiah evidence. The published first pass does not complete the wider transmission study.</x:v>
      </x:c>
      <x:c r="J17" s="23" t="str"/>
      <x:c r="K17" s="30"/>
      <x:c r="L17" s="28" t="str">
        <x:v>Independently collate 11Q13 II 6-7 and II 18, then verify the full specialist Teacher identification. The new chronology article reviews Williams, not the missing critical-edition work.</x:v>
      </x:c>
      <x:c r="M17" s="23" t="str">
        <x:v>thomas</x:v>
      </x:c>
      <x:c r="N17" s="23" t="str">
        <x:v>https://v5ma.github.io/theology-wiki/san-reader.html?page=tor-thomas-and-gnostic-transmission</x:v>
      </x:c>
      <x:c r="O17" s="23" t="n">
        <x:f>IF(E17="Verified output",1,0)</x:f>
        <x:v>0</x:v>
      </x:c>
      <x:c r="P17" s="23" t="str">
        <x:f>IF(AND(E17="Not started",H17="Prerequisites met"),"Ready","")</x:f>
        <x:v>Ready</x:v>
      </x:c>
    </x:row>
    <x:row r="18" ht="94" customHeight="1">
      <x:c r="A18" s="23" t="str">
        <x:v>tabor-citations</x:v>
      </x:c>
      <x:c r="B18" s="26" t="str">
        <x:v>Locate precise Tabor citations</x:v>
      </x:c>
      <x:c r="C18" s="23" t="str">
        <x:v>Assemble and verify passages</x:v>
      </x:c>
      <x:c r="D18" s="28" t="str">
        <x:v>P0</x:v>
      </x:c>
      <x:c r="E18" s="28" t="str">
        <x:v>Not started</x:v>
      </x:c>
      <x:c r="F18" s="28" t="str">
        <x:v>Editorial/research work (unassigned)</x:v>
      </x:c>
      <x:c r="G18" s="23" t="str">
        <x:v>scope-baseline</x:v>
      </x:c>
      <x:c r="H18" s="23" t="str">
        <x:f>IF(COUNTIFS(Dependencies!$A$7:$A$50,A18,Dependencies!$D$7:$D$50,"&lt;&gt;Verified output")=0,"Prerequisites met","Prerequisites open")</x:f>
        <x:v>Prerequisites met</x:v>
      </x:c>
      <x:c r="I18" s="23" t="str">
        <x:v>Identify which editions, pages or recordings support the claims acknowledged in the older conversations; later 2026 posts cannot date the 2025 influence.</x:v>
      </x:c>
      <x:c r="J18" s="23" t="str"/>
      <x:c r="K18" s="30"/>
      <x:c r="L18" s="28" t="str">
        <x:v>Identify which editions, pages or recordings support the claims acknowledged in the older conversations; later 2026 posts cannot date the 2025 influence.</x:v>
      </x:c>
      <x:c r="M18" s="23" t="str"/>
      <x:c r="N18" s="23" t="str">
        <x:v>https://v5ma.github.io/theology-wiki/san-reader.html?page=intellectual-debts</x:v>
      </x:c>
      <x:c r="O18" s="23" t="n">
        <x:f>IF(E18="Verified output",1,0)</x:f>
        <x:v>0</x:v>
      </x:c>
      <x:c r="P18" s="23" t="str">
        <x:f>IF(AND(E18="Not started",H18="Prerequisites met"),"Ready","")</x:f>
        <x:v>Ready</x:v>
      </x:c>
    </x:row>
    <x:row r="19" ht="100" customHeight="1">
      <x:c r="A19" s="23" t="str">
        <x:v>egypt-ethiopia</x:v>
      </x:c>
      <x:c r="B19" s="26" t="str">
        <x:v>Check Egypt and Ethiopian transmission links</x:v>
      </x:c>
      <x:c r="C19" s="23" t="str">
        <x:v>Assemble and verify passages</x:v>
      </x:c>
      <x:c r="D19" s="28" t="str">
        <x:v>P1</x:v>
      </x:c>
      <x:c r="E19" s="28" t="str">
        <x:v>Draft</x:v>
      </x:c>
      <x:c r="F19" s="28" t="str">
        <x:v>Editorial/research work (unassigned)</x:v>
      </x:c>
      <x:c r="G19" s="23" t="str">
        <x:v>melchizedek-first-pass</x:v>
      </x:c>
      <x:c r="H19" s="23" t="str">
        <x:f>IF(COUNTIFS(Dependencies!$A$7:$A$50,A19,Dependencies!$D$7:$D$50,"&lt;&gt;Verified output")=0,"Prerequisites met","Prerequisites open")</x:f>
        <x:v>Prerequisites met</x:v>
      </x:c>
      <x:c r="I19" s="23" t="str">
        <x:v>Distinguish preservation in a region, movement of texts and biological or institutional lineage. Attach evidence to each proposed bridge. The first reception comparison is available, but the proposed institutional carriers and exact critical editions remain to be tested.</x:v>
      </x:c>
      <x:c r="J19" s="23" t="str">
        <x:v>theology-wiki/content/developed/manuscripts-movements-and-survival.md
theology-wiki/content/developed/onias-egypt-and-priestly-continuity.md</x:v>
      </x:c>
      <x:c r="K19" s="30"/>
      <x:c r="L19" s="28" t="str">
        <x:v>Collate the incompatible Onias accounts and the 343-year duration; investigate actual intermediates from the reported Egyptian priestly network to later Gnostic and Ethiopian traditions.</x:v>
      </x:c>
      <x:c r="M19" s="23" t="str">
        <x:v>thomas</x:v>
      </x:c>
      <x:c r="N19" s="23" t="str">
        <x:v>https://v5ma.github.io/theology-wiki/san-reader.html?page=tor-thomas-and-gnostic-transmission
https://v5ma.github.io/theology-wiki/san-reader.html?page=onias-egypt-and-priestly-continuity</x:v>
      </x:c>
      <x:c r="O19" s="23" t="n">
        <x:f>IF(E19="Verified output",1,0)</x:f>
        <x:v>0</x:v>
      </x:c>
      <x:c r="P19" s="23" t="str">
        <x:f>IF(AND(E19="Not started",H19="Prerequisites met"),"Ready","")</x:f>
      </x:c>
    </x:row>
    <x:row r="20" ht="100" customHeight="1">
      <x:c r="A20" s="23" t="str">
        <x:v>priesthood</x:v>
      </x:c>
      <x:c r="B20" s="26" t="str">
        <x:v>Resolve the Davidic/priestly knot</x:v>
      </x:c>
      <x:c r="C20" s="23" t="str">
        <x:v>Develop complete arguments</x:v>
      </x:c>
      <x:c r="D20" s="28" t="str">
        <x:v>P1</x:v>
      </x:c>
      <x:c r="E20" s="28" t="str">
        <x:v>Draft</x:v>
      </x:c>
      <x:c r="F20" s="28" t="str">
        <x:v>Editorial/research work (unassigned)</x:v>
      </x:c>
      <x:c r="G20" s="23" t="str">
        <x:v>melchizedek-first-pass</x:v>
      </x:c>
      <x:c r="H20" s="23" t="str">
        <x:f>IF(COUNTIFS(Dependencies!$A$7:$A$50,A20,Dependencies!$D$7:$D$50,"&lt;&gt;Verified output")=0,"Prerequisites met","Prerequisites open")</x:f>
        <x:v>Prerequisites met</x:v>
      </x:c>
      <x:c r="I20" s="23" t="str">
        <x:v>Present the author's Aaronic, Zadokite, Davidic and dual-messiah questions without silently making the categories identical.</x:v>
      </x:c>
      <x:c r="J20" s="23" t="str">
        <x:v>theology-wiki/data/priestly-evidence.json</x:v>
      </x:c>
      <x:c r="K20" s="30"/>
      <x:c r="L20" s="28" t="str">
        <x:v>Trace an evidenced route from Egyptian priestly carriers to James-centered traditions. Test genealogy, office, mediated priestly imagery and adverse sect classifications separately.</x:v>
      </x:c>
      <x:c r="M20" s="23" t="str">
        <x:v>teacher-identity</x:v>
      </x:c>
      <x:c r="N20" s="23" t="str">
        <x:v>https://v5ma.github.io/theology-wiki/san-reader.html?page=jesus-teacher-of-righteousness-hypothesis
https://v5ma.github.io/theology-wiki/san-reader.html?page=onias-egypt-and-priestly-continuity
https://v5ma.github.io/theology-wiki/san-reader.html?page=james-and-contested-succession</x:v>
      </x:c>
      <x:c r="O20" s="23" t="n">
        <x:f>IF(E20="Verified output",1,0)</x:f>
        <x:v>0</x:v>
      </x:c>
      <x:c r="P20" s="23" t="str">
        <x:f>IF(AND(E20="Not started",H20="Prerequisites met"),"Ready","")</x:f>
      </x:c>
    </x:row>
    <x:row r="21" ht="94" customHeight="1">
      <x:c r="A21" s="23" t="str">
        <x:v>will</x:v>
      </x:c>
      <x:c r="B21" s="26" t="str">
        <x:v>Review the divine-will comparison</x:v>
      </x:c>
      <x:c r="C21" s="23" t="str">
        <x:v>Review meaning and presentation</x:v>
      </x:c>
      <x:c r="D21" s="28" t="str">
        <x:v>P0</x:v>
      </x:c>
      <x:c r="E21" s="28" t="str">
        <x:v>Author review</x:v>
      </x:c>
      <x:c r="F21" s="28" t="str">
        <x:v>Micah</x:v>
      </x:c>
      <x:c r="G21" s="23" t="str">
        <x:v>scope-baseline</x:v>
      </x:c>
      <x:c r="H21" s="23" t="str">
        <x:f>IF(COUNTIFS(Dependencies!$A$7:$A$50,A21,Dependencies!$D$7:$D$50,"&lt;&gt;Verified output")=0,"Prerequisites met","Prerequisites open")</x:f>
        <x:v>Prerequisites met</x:v>
      </x:c>
      <x:c r="I21" s="23" t="str">
        <x:v>Confirm the constructive reading and political application; retain the distinction between recorded heaven remarks and inferred motive.</x:v>
      </x:c>
      <x:c r="J21" s="23" t="str"/>
      <x:c r="K21" s="30"/>
      <x:c r="L21" s="28" t="str">
        <x:v>Confirm the constructive reading and political application; retain the distinction between recorded heaven remarks and inferred motive.</x:v>
      </x:c>
      <x:c r="M21" s="23" t="str">
        <x:v>inner-model
will</x:v>
      </x:c>
      <x:c r="N21" s="23" t="str">
        <x:v>https://v5ma.github.io/theology-wiki/san-reader.html?page=divine-will-and-self-authorizing-power</x:v>
      </x:c>
      <x:c r="O21" s="23" t="n">
        <x:f>IF(E21="Verified output",1,0)</x:f>
        <x:v>0</x:v>
      </x:c>
      <x:c r="P21" s="23" t="str">
        <x:f>IF(AND(E21="Not started",H21="Prerequisites met"),"Ready","")</x:f>
      </x:c>
    </x:row>
    <x:row r="22" ht="94" customHeight="1">
      <x:c r="A22" s="23" t="str">
        <x:v>mixed-cases</x:v>
      </x:c>
      <x:c r="B22" s="26" t="str">
        <x:v>Expand the Samuel/Micah mixed-case survey</x:v>
      </x:c>
      <x:c r="C22" s="23" t="str">
        <x:v>Assemble and verify passages</x:v>
      </x:c>
      <x:c r="D22" s="28" t="str">
        <x:v>P1</x:v>
      </x:c>
      <x:c r="E22" s="28" t="str">
        <x:v>Not started</x:v>
      </x:c>
      <x:c r="F22" s="28" t="str">
        <x:v>Editorial/research work (unassigned)</x:v>
      </x:c>
      <x:c r="G22" s="23" t="str">
        <x:v>archive-integrity</x:v>
      </x:c>
      <x:c r="H22" s="23" t="str">
        <x:f>IF(COUNTIFS(Dependencies!$A$7:$A$50,A22,Dependencies!$D$7:$D$50,"&lt;&gt;Verified output")=0,"Prerequisites met","Prerequisites open")</x:f>
        <x:v>Prerequisites met</x:v>
      </x:c>
      <x:c r="I22" s="23" t="str">
        <x:v>The existing two worked passages do not substitute for the broad survey the author requested. Add passages and contextual counterexamples.</x:v>
      </x:c>
      <x:c r="J22" s="23" t="str"/>
      <x:c r="K22" s="30"/>
      <x:c r="L22" s="28" t="str">
        <x:v>The existing two worked passages do not substitute for the broad survey the author requested. Add passages and contextual counterexamples.</x:v>
      </x:c>
      <x:c r="M22" s="23" t="str">
        <x:v>scriptural-axis
repair-practice</x:v>
      </x:c>
      <x:c r="N22" s="23" t="str">
        <x:v>https://v5ma.github.io/theology-wiki/san-reader.html?page=scripture-power-and-repair</x:v>
      </x:c>
      <x:c r="O22" s="23" t="n">
        <x:f>IF(E22="Verified output",1,0)</x:f>
        <x:v>0</x:v>
      </x:c>
      <x:c r="P22" s="23" t="str">
        <x:f>IF(AND(E22="Not started",H22="Prerequisites met"),"Ready","")</x:f>
        <x:v>Ready</x:v>
      </x:c>
    </x:row>
    <x:row r="23" ht="94" customHeight="1">
      <x:c r="A23" s="23" t="str">
        <x:v>coherence</x:v>
      </x:c>
      <x:c r="B23" s="26" t="str">
        <x:v>Specify the different senses of coherence</x:v>
      </x:c>
      <x:c r="C23" s="23" t="str">
        <x:v>Develop complete arguments</x:v>
      </x:c>
      <x:c r="D23" s="28" t="str">
        <x:v>P1</x:v>
      </x:c>
      <x:c r="E23" s="28" t="str">
        <x:v>Draft</x:v>
      </x:c>
      <x:c r="F23" s="28" t="str">
        <x:v>Editorial/research work (unassigned)</x:v>
      </x:c>
      <x:c r="G23" s="23" t="str">
        <x:v>scope-baseline</x:v>
      </x:c>
      <x:c r="H23" s="23" t="str">
        <x:f>IF(COUNTIFS(Dependencies!$A$7:$A$50,A23,Dependencies!$D$7:$D$50,"&lt;&gt;Verified output")=0,"Prerequisites met","Prerequisites open")</x:f>
        <x:v>Prerequisites met</x:v>
      </x:c>
      <x:c r="I23" s="23" t="str">
        <x:v>Separate physical, experiential and ethical meanings; explain how critical disagreement can preserve rather than defeat moral alignment.</x:v>
      </x:c>
      <x:c r="J23" s="23" t="str">
        <x:v>theology-wiki/editorial/authorial-articles/computational-divine-immanence.md
theology-wiki/editorial/computational-foundations.json</x:v>
      </x:c>
      <x:c r="K23" s="30"/>
      <x:c r="L23" s="28" t="str">
        <x:v>Review the TCNR/SIT operational distinctions and the explicit cross-scale bridge. No confirmed new physical signal is claimed.</x:v>
      </x:c>
      <x:c r="M23" s="23" t="str">
        <x:v>images
next-inheritors</x:v>
      </x:c>
      <x:c r="N23" s="23" t="str">
        <x:v>https://v5ma.github.io/theology-wiki/san-reader.html?page=god-and-our-models-of-god
https://v5ma.github.io/theology-wiki/san-reader.html?page=computational-divine-immanence
https://v5ma.github.io/theology-wiki/san-reader.html?page=computational-argument-map</x:v>
      </x:c>
      <x:c r="O23" s="23" t="n">
        <x:f>IF(E23="Verified output",1,0)</x:f>
        <x:v>0</x:v>
      </x:c>
      <x:c r="P23" s="23" t="str">
        <x:f>IF(AND(E23="Not started",H23="Prerequisites met"),"Ready","")</x:f>
      </x:c>
    </x:row>
    <x:row r="24" ht="94" customHeight="1">
      <x:c r="A24" s="23" t="str">
        <x:v>inner-model</x:v>
      </x:c>
      <x:c r="B24" s="26" t="str">
        <x:v>Review second-order model correction</x:v>
      </x:c>
      <x:c r="C24" s="23" t="str">
        <x:v>Review meaning and presentation</x:v>
      </x:c>
      <x:c r="D24" s="28" t="str">
        <x:v>P1</x:v>
      </x:c>
      <x:c r="E24" s="28" t="str">
        <x:v>Author review</x:v>
      </x:c>
      <x:c r="F24" s="28" t="str">
        <x:v>Micah</x:v>
      </x:c>
      <x:c r="G24" s="23" t="str">
        <x:v>scope-baseline</x:v>
      </x:c>
      <x:c r="H24" s="23" t="str">
        <x:f>IF(COUNTIFS(Dependencies!$A$7:$A$50,A24,Dependencies!$D$7:$D$50,"&lt;&gt;Verified output")=0,"Prerequisites met","Prerequisites open")</x:f>
        <x:v>Prerequisites met</x:v>
      </x:c>
      <x:c r="I24" s="23" t="str">
        <x:v>Confirm the worked example represents the original argument: the moral model is scrutinized as well as used.</x:v>
      </x:c>
      <x:c r="J24" s="23" t="str"/>
      <x:c r="K24" s="30"/>
      <x:c r="L24" s="28" t="str">
        <x:v>Confirm the worked example represents the original argument: the moral model is scrutinized as well as used.</x:v>
      </x:c>
      <x:c r="M24" s="23" t="str">
        <x:v>inner-model</x:v>
      </x:c>
      <x:c r="N24" s="23" t="str">
        <x:v>https://v5ma.github.io/theology-wiki/san-reader.html?page=christ-as-an-inner-model</x:v>
      </x:c>
      <x:c r="O24" s="23" t="n">
        <x:f>IF(E24="Verified output",1,0)</x:f>
        <x:v>0</x:v>
      </x:c>
      <x:c r="P24" s="23" t="str">
        <x:f>IF(AND(E24="Not started",H24="Prerequisites met"),"Ready","")</x:f>
      </x:c>
    </x:row>
    <x:row r="25" ht="94" customHeight="1">
      <x:c r="A25" s="23" t="str">
        <x:v>forecast-source</x:v>
      </x:c>
      <x:c r="B25" s="26" t="str">
        <x:v>Recover the later fuel/famine statements</x:v>
      </x:c>
      <x:c r="C25" s="23" t="str">
        <x:v>Assemble and verify passages</x:v>
      </x:c>
      <x:c r="D25" s="28" t="str">
        <x:v>P1</x:v>
      </x:c>
      <x:c r="E25" s="28" t="str">
        <x:v>Not started</x:v>
      </x:c>
      <x:c r="F25" s="28" t="str">
        <x:v>Editorial/research work (unassigned)</x:v>
      </x:c>
      <x:c r="G25" s="23" t="str">
        <x:v>archive-integrity</x:v>
      </x:c>
      <x:c r="H25" s="23" t="str">
        <x:f>IF(COUNTIFS(Dependencies!$A$7:$A$50,A25,Dependencies!$D$7:$D$50,"&lt;&gt;Verified output")=0,"Prerequisites met","Prerequisites open")</x:f>
        <x:v>Prerequisites met</x:v>
      </x:c>
      <x:c r="I25" s="23" t="str">
        <x:v>Recover full original passages and their dates before outcome assessment. Existing recovery leads remain unscored.</x:v>
      </x:c>
      <x:c r="J25" s="23" t="str"/>
      <x:c r="K25" s="30"/>
      <x:c r="L25" s="28" t="str">
        <x:v>Recover full original passages and their dates before outcome assessment. Existing recovery leads remain unscored.</x:v>
      </x:c>
      <x:c r="M25" s="23" t="str">
        <x:v>warnings</x:v>
      </x:c>
      <x:c r="N25" s="23" t="str">
        <x:v>https://v5ma.github.io/theology-wiki/san-reader.html?page=forecast-ledger</x:v>
      </x:c>
      <x:c r="O25" s="23" t="n">
        <x:f>IF(E25="Verified output",1,0)</x:f>
        <x:v>0</x:v>
      </x:c>
      <x:c r="P25" s="23" t="str">
        <x:f>IF(AND(E25="Not started",H25="Prerequisites met"),"Ready","")</x:f>
        <x:v>Ready</x:v>
      </x:c>
    </x:row>
    <x:row r="26" ht="94" customHeight="1">
      <x:c r="A26" s="23" t="str">
        <x:v>trauma</x:v>
      </x:c>
      <x:c r="B26" s="26" t="str">
        <x:v>Build the comparative Temple-trauma corpus</x:v>
      </x:c>
      <x:c r="C26" s="23" t="str">
        <x:v>Assemble and verify passages</x:v>
      </x:c>
      <x:c r="D26" s="28" t="str">
        <x:v>P1</x:v>
      </x:c>
      <x:c r="E26" s="28" t="str">
        <x:v>Not started</x:v>
      </x:c>
      <x:c r="F26" s="28" t="str">
        <x:v>Editorial/research work (unassigned)</x:v>
      </x:c>
      <x:c r="G26" s="23" t="str">
        <x:v>archive-integrity</x:v>
      </x:c>
      <x:c r="H26" s="23" t="str">
        <x:f>IF(COUNTIFS(Dependencies!$A$7:$A$50,A26,Dependencies!$D$7:$D$50,"&lt;&gt;Verified output")=0,"Prerequisites met","Prerequisites open")</x:f>
        <x:v>Prerequisites met</x:v>
      </x:c>
      <x:c r="I26" s="23" t="str">
        <x:v>Select Gnostic and non-Gnostic texts with independently justified dates; distinguish grief, just anger, rejection of creation and institutional repair.</x:v>
      </x:c>
      <x:c r="J26" s="23" t="str"/>
      <x:c r="K26" s="30"/>
      <x:c r="L26" s="28" t="str">
        <x:v>Select Gnostic and non-Gnostic texts with independently justified dates; distinguish grief, just anger, rejection of creation and institutional repair.</x:v>
      </x:c>
      <x:c r="M26" s="23" t="str">
        <x:v>trauma</x:v>
      </x:c>
      <x:c r="N26" s="23" t="str">
        <x:v>https://v5ma.github.io/theology-wiki/san-reader.html?page=gnosticism-and-temple-trauma</x:v>
      </x:c>
      <x:c r="O26" s="23" t="n">
        <x:f>IF(E26="Verified output",1,0)</x:f>
        <x:v>0</x:v>
      </x:c>
      <x:c r="P26" s="23" t="str">
        <x:f>IF(AND(E26="Not started",H26="Prerequisites met"),"Ready","")</x:f>
        <x:v>Ready</x:v>
      </x:c>
    </x:row>
    <x:row r="27" ht="94" customHeight="1">
      <x:c r="A27" s="23" t="str">
        <x:v>formalism</x:v>
      </x:c>
      <x:c r="B27" s="26" t="str">
        <x:v>Define the shared-inheritance formalism</x:v>
      </x:c>
      <x:c r="C27" s="23" t="str">
        <x:v>Develop complete arguments</x:v>
      </x:c>
      <x:c r="D27" s="28" t="str">
        <x:v>P1</x:v>
      </x:c>
      <x:c r="E27" s="28" t="str">
        <x:v>Draft</x:v>
      </x:c>
      <x:c r="F27" s="28" t="str">
        <x:v>Editorial/research work (unassigned)</x:v>
      </x:c>
      <x:c r="G27" s="23" t="str">
        <x:v>contents-baseline</x:v>
      </x:c>
      <x:c r="H27" s="23" t="str">
        <x:f>IF(COUNTIFS(Dependencies!$A$7:$A$50,A27,Dependencies!$D$7:$D$50,"&lt;&gt;Verified output")=0,"Prerequisites met","Prerequisites open")</x:f>
        <x:v>Prerequisites met</x:v>
      </x:c>
      <x:c r="I27" s="23" t="str">
        <x:v>Specify objects, mappings and composition before calling the category-theory model a proof; test whether it distinguishes cases usefully.</x:v>
      </x:c>
      <x:c r="J27" s="23" t="str">
        <x:v>theology-wiki/editorial/authorial-articles/flood-inheritance-and-deep-time.md</x:v>
      </x:c>
      <x:c r="K27" s="30"/>
      <x:c r="L27" s="28" t="str">
        <x:v>Extend exact flood-passage mappings and competing transmission accounts; replace illustrative likelihoods only after calibration and dependency review.</x:v>
      </x:c>
      <x:c r="M27" s="23" t="str">
        <x:v>shared-archive
continuing</x:v>
      </x:c>
      <x:c r="N27" s="23" t="str">
        <x:v>https://v5ma.github.io/theology-wiki/san-reader.html?page=sacred-inheritance-and-rival-continuations
https://v5ma.github.io/theology-wiki/san-reader.html?page=flood-inheritance-and-deep-time</x:v>
      </x:c>
      <x:c r="O27" s="23" t="n">
        <x:f>IF(E27="Verified output",1,0)</x:f>
        <x:v>0</x:v>
      </x:c>
      <x:c r="P27" s="23" t="str">
        <x:f>IF(AND(E27="Not started",H27="Prerequisites met"),"Ready","")</x:f>
      </x:c>
    </x:row>
    <x:row r="28" ht="94" customHeight="1">
      <x:c r="A28" s="23" t="str">
        <x:v>robot-reciprocity</x:v>
      </x:c>
      <x:c r="B28" s="26" t="str">
        <x:v>Develop reciprocal duties toward conscious machines</x:v>
      </x:c>
      <x:c r="C28" s="23" t="str">
        <x:v>Develop complete arguments</x:v>
      </x:c>
      <x:c r="D28" s="28" t="str">
        <x:v>P1</x:v>
      </x:c>
      <x:c r="E28" s="28" t="str">
        <x:v>Draft</x:v>
      </x:c>
      <x:c r="F28" s="28" t="str">
        <x:v>Editorial/research work (unassigned)</x:v>
      </x:c>
      <x:c r="G28" s="23" t="str">
        <x:v>coherence</x:v>
      </x:c>
      <x:c r="H28" s="23" t="str">
        <x:f>IF(COUNTIFS(Dependencies!$A$7:$A$50,A28,Dependencies!$D$7:$D$50,"&lt;&gt;Verified output")=0,"Prerequisites met","Prerequisites open")</x:f>
        <x:v>Prerequisites open</x:v>
      </x:c>
      <x:c r="I28" s="23" t="str">
        <x:v>Separate the author's teaching proposal from the new editorial question about obligations toward future conscious participants.</x:v>
      </x:c>
      <x:c r="J28" s="23" t="str"/>
      <x:c r="K28" s="30"/>
      <x:c r="L28" s="28" t="str">
        <x:v>Separate the author's teaching proposal from the new editorial question about obligations toward future conscious participants.</x:v>
      </x:c>
      <x:c r="M28" s="23" t="str">
        <x:v>next-inheritors</x:v>
      </x:c>
      <x:c r="N28" s="23" t="str">
        <x:v>https://v5ma.github.io/theology-wiki/san-reader.html?page=religion-for-conscious-robots</x:v>
      </x:c>
      <x:c r="O28" s="23" t="n">
        <x:f>IF(E28="Verified output",1,0)</x:f>
        <x:v>0</x:v>
      </x:c>
      <x:c r="P28" s="23" t="str">
        <x:f>IF(AND(E28="Not started",H28="Prerequisites met"),"Ready","")</x:f>
      </x:c>
    </x:row>
    <x:row r="29" ht="94" customHeight="1">
      <x:c r="A29" s="23" t="str">
        <x:v>book-seed-status</x:v>
      </x:c>
      <x:c r="B29" s="26" t="str">
        <x:v>Review the old private-first label</x:v>
      </x:c>
      <x:c r="C29" s="23" t="str">
        <x:v>Review meaning and presentation</x:v>
      </x:c>
      <x:c r="D29" s="28" t="str">
        <x:v>P0</x:v>
      </x:c>
      <x:c r="E29" s="28" t="str">
        <x:v>Author review</x:v>
      </x:c>
      <x:c r="F29" s="28" t="str">
        <x:v>Micah</x:v>
      </x:c>
      <x:c r="G29" s="23" t="str">
        <x:v>archive-integrity</x:v>
      </x:c>
      <x:c r="H29" s="23" t="str">
        <x:f>IF(COUNTIFS(Dependencies!$A$7:$A$50,A29,Dependencies!$D$7:$D$50,"&lt;&gt;Verified output")=0,"Prerequisites met","Prerequisites open")</x:f>
        <x:v>Prerequisites met</x:v>
      </x:c>
      <x:c r="I29" s="23" t="str">
        <x:v>The existing public source seed still calls itself private-first. Confirm its intended editorial status without changing the original file automatically.</x:v>
      </x:c>
      <x:c r="J29" s="23" t="str"/>
      <x:c r="K29" s="30"/>
      <x:c r="L29" s="28" t="str">
        <x:v>The existing public source seed still calls itself private-first. Confirm its intended editorial status without changing the original file automatically.</x:v>
      </x:c>
      <x:c r="M29" s="23" t="str">
        <x:v>shared-archive
continuing</x:v>
      </x:c>
      <x:c r="N29" s="23" t="str">
        <x:v>https://v5ma.github.io/theology-wiki/san-reader.html?page=sacred-inheritance-and-rival-continuations</x:v>
      </x:c>
      <x:c r="O29" s="23" t="n">
        <x:f>IF(E29="Verified output",1,0)</x:f>
        <x:v>0</x:v>
      </x:c>
      <x:c r="P29" s="23" t="str">
        <x:f>IF(AND(E29="Not started",H29="Prerequisites met"),"Ready","")</x:f>
      </x:c>
    </x:row>
    <x:row r="30" ht="94" customHeight="1">
      <x:c r="A30" s="23" t="str">
        <x:v>chapter-arc</x:v>
      </x:c>
      <x:c r="B30" s="26" t="str">
        <x:v>Review the proposed book sequence</x:v>
      </x:c>
      <x:c r="C30" s="23" t="str">
        <x:v>Connect the book</x:v>
      </x:c>
      <x:c r="D30" s="28" t="str">
        <x:v>P1</x:v>
      </x:c>
      <x:c r="E30" s="28" t="str">
        <x:v>Author review</x:v>
      </x:c>
      <x:c r="F30" s="28" t="str">
        <x:v>Micah</x:v>
      </x:c>
      <x:c r="G30" s="23" t="str">
        <x:v>contents-baseline
scope-baseline</x:v>
      </x:c>
      <x:c r="H30" s="23" t="str">
        <x:f>IF(COUNTIFS(Dependencies!$A$7:$A$50,A30,Dependencies!$D$7:$D$50,"&lt;&gt;Verified output")=0,"Prerequisites met","Prerequisites open")</x:f>
        <x:v>Prerequisites met</x:v>
      </x:c>
      <x:c r="I30" s="23" t="str">
        <x:v>The contents is a proposed argument order, not a finished manuscript. Confirm whether the sequence preserves the breadth of the author's project.</x:v>
      </x:c>
      <x:c r="J30" s="23" t="str"/>
      <x:c r="K30" s="30"/>
      <x:c r="L30" s="28" t="str">
        <x:v>The contents is a proposed argument order, not a finished manuscript. Confirm whether the sequence preserves the breadth of the author's project.</x:v>
      </x:c>
      <x:c r="M30" s="23" t="str">
        <x:v>shared-archive
names
catastrophe-memory
teacher-identity
thomas
trauma
images
gnosis
inner-model
faith
scriptural-axis
will
beast
warnings
repair-practice
next-inheritors
continuing</x:v>
      </x:c>
      <x:c r="N30" s="23" t="str">
        <x:v>https://v5ma.github.io/theology-wiki/san-reader.html?page=book-contents</x:v>
      </x:c>
      <x:c r="O30" s="23" t="n">
        <x:f>IF(E30="Verified output",1,0)</x:f>
        <x:v>0</x:v>
      </x:c>
      <x:c r="P30" s="23" t="str">
        <x:f>IF(AND(E30="Not started",H30="Prerequisites met"),"Ready","")</x:f>
      </x:c>
    </x:row>
    <x:row r="31" ht="94" customHeight="1">
      <x:c r="A31" s="23" t="str">
        <x:v>dossier-coverage</x:v>
      </x:c>
      <x:c r="B31" s="26" t="str">
        <x:v>Extend full argument maps to remaining developed articles</x:v>
      </x:c>
      <x:c r="C31" s="23" t="str">
        <x:v>Preserve and map the corpus</x:v>
      </x:c>
      <x:c r="D31" s="28" t="str">
        <x:v>P0</x:v>
      </x:c>
      <x:c r="E31" s="28" t="str">
        <x:v>Draft</x:v>
      </x:c>
      <x:c r="F31" s="28" t="str">
        <x:v>Editorial/research work (unassigned)</x:v>
      </x:c>
      <x:c r="G31" s="23" t="str">
        <x:v>coverage-register
scope-baseline</x:v>
      </x:c>
      <x:c r="H31" s="23" t="str">
        <x:f>IF(COUNTIFS(Dependencies!$A$7:$A$50,A31,Dependencies!$D$7:$D$50,"&lt;&gt;Verified output")=0,"Prerequisites met","Prerequisites open")</x:f>
        <x:v>Prerequisites met</x:v>
      </x:c>
      <x:c r="I31" s="23" t="str">
        <x:v>Every developed article has reviewed claims, original corrections, rejected readings and a scoped list of sources; source linking alone is not a fidelity sign-off. The first source-atlas pass adds four explicitly bounded challenge records; remaining article dossiers and author review are still required.</x:v>
      </x:c>
      <x:c r="J31" s="23" t="str">
        <x:v>theology-wiki/data/source-atlas.json
theology-wiki/content/developed/exodus-to-temple-competing-chronologies.md</x:v>
      </x:c>
      <x:c r="K31" s="30"/>
      <x:c r="L31" s="28" t="str">
        <x:v>Every developed article has reviewed claims, original corrections, rejected readings and a scoped list of sources; source linking alone is not a fidelity sign-off.</x:v>
      </x:c>
      <x:c r="M31" s="23" t="str"/>
      <x:c r="N31" s="23" t="str">
        <x:v>https://v5ma.github.io/theology-wiki/san-reader.html?page=source-coverage</x:v>
      </x:c>
      <x:c r="O31" s="23" t="n">
        <x:f>IF(E31="Verified output",1,0)</x:f>
        <x:v>0</x:v>
      </x:c>
      <x:c r="P31" s="23" t="str">
        <x:f>IF(AND(E31="Not started",H31="Prerequisites met"),"Ready","")</x:f>
      </x:c>
    </x:row>
    <x:row r="32" ht="94" customHeight="1">
      <x:c r="A32" s="23" t="str">
        <x:v>temple-case</x:v>
      </x:c>
      <x:c r="B32" s="26" t="str">
        <x:v>Build one worked sacred-center dispute</x:v>
      </x:c>
      <x:c r="C32" s="23" t="str">
        <x:v>Assemble and verify passages</x:v>
      </x:c>
      <x:c r="D32" s="28" t="str">
        <x:v>P1</x:v>
      </x:c>
      <x:c r="E32" s="28" t="str">
        <x:v>Not started</x:v>
      </x:c>
      <x:c r="F32" s="28" t="str">
        <x:v>Editorial/research work (unassigned)</x:v>
      </x:c>
      <x:c r="G32" s="23" t="str">
        <x:v>archive-integrity</x:v>
      </x:c>
      <x:c r="H32" s="23" t="str">
        <x:f>IF(COUNTIFS(Dependencies!$A$7:$A$50,A32,Dependencies!$D$7:$D$50,"&lt;&gt;Verified output")=0,"Prerequisites met","Prerequisites open")</x:f>
        <x:v>Prerequisites met</x:v>
      </x:c>
      <x:c r="I32" s="23" t="str">
        <x:v>Compare exact textual readings and institutional claims for a selected sacred-center dispute with dates, translations and alternative interpretations.</x:v>
      </x:c>
      <x:c r="J32" s="23" t="str"/>
      <x:c r="K32" s="30"/>
      <x:c r="L32" s="28" t="str">
        <x:v>Compare exact textual readings and institutional claims for a selected sacred-center dispute with dates, translations and alternative interpretations.</x:v>
      </x:c>
      <x:c r="M32" s="23" t="str">
        <x:v>shared-archive</x:v>
      </x:c>
      <x:c r="N32" s="23" t="str">
        <x:v>https://v5ma.github.io/theology-wiki/san-reader.html?page=samaritan-texts-and-sacred-authority</x:v>
      </x:c>
      <x:c r="O32" s="23" t="n">
        <x:f>IF(E32="Verified output",1,0)</x:f>
        <x:v>0</x:v>
      </x:c>
      <x:c r="P32" s="23" t="str">
        <x:f>IF(AND(E32="Not started",H32="Prerequisites met"),"Ready","")</x:f>
        <x:v>Ready</x:v>
      </x:c>
    </x:row>
    <x:row r="33" ht="94" customHeight="1">
      <x:c r="A33" s="23" t="str">
        <x:v>second-beast-history</x:v>
      </x:c>
      <x:c r="B33" s="26" t="str">
        <x:v>Explain the changing Second Beast candidates</x:v>
      </x:c>
      <x:c r="C33" s="23" t="str">
        <x:v>Develop complete arguments</x:v>
      </x:c>
      <x:c r="D33" s="28" t="str">
        <x:v>P1</x:v>
      </x:c>
      <x:c r="E33" s="28" t="str">
        <x:v>Not started</x:v>
      </x:c>
      <x:c r="F33" s="28" t="str">
        <x:v>Editorial/research work (unassigned)</x:v>
      </x:c>
      <x:c r="G33" s="23" t="str">
        <x:v>scope-baseline</x:v>
      </x:c>
      <x:c r="H33" s="23" t="str">
        <x:f>IF(COUNTIFS(Dependencies!$A$7:$A$50,A33,Dependencies!$D$7:$D$50,"&lt;&gt;Verified output")=0,"Prerequisites met","Prerequisites open")</x:f>
        <x:v>Prerequisites met</x:v>
      </x:c>
      <x:c r="I33" s="23" t="str">
        <x:v>Preserve dated candidates and whether each is an allegory, institutional role or fulfillment claim; explain what remains stable across versions.</x:v>
      </x:c>
      <x:c r="J33" s="23" t="str"/>
      <x:c r="K33" s="30"/>
      <x:c r="L33" s="28" t="str">
        <x:v>Preserve dated candidates and whether each is an allegory, institutional role or fulfillment claim; explain what remains stable across versions.</x:v>
      </x:c>
      <x:c r="M33" s="23" t="str">
        <x:v>beast</x:v>
      </x:c>
      <x:c r="N33" s="23" t="str">
        <x:v>https://v5ma.github.io/theology-wiki/san-reader.html?page=trump-first-beast-of-revelation</x:v>
      </x:c>
      <x:c r="O33" s="23" t="n">
        <x:f>IF(E33="Verified output",1,0)</x:f>
        <x:v>0</x:v>
      </x:c>
      <x:c r="P33" s="23" t="str">
        <x:f>IF(AND(E33="Not started",H33="Prerequisites met"),"Ready","")</x:f>
        <x:v>Ready</x:v>
      </x:c>
    </x:row>
    <x:row r="34" ht="94" customHeight="1">
      <x:c r="A34" s="23" t="str">
        <x:v>forecast-observations</x:v>
      </x:c>
      <x:c r="B34" s="26" t="str">
        <x:v>Build a separately dated observation register</x:v>
      </x:c>
      <x:c r="C34" s="23" t="str">
        <x:v>Assemble and verify passages</x:v>
      </x:c>
      <x:c r="D34" s="28" t="str">
        <x:v>P0</x:v>
      </x:c>
      <x:c r="E34" s="28" t="str">
        <x:v>Blocked</x:v>
      </x:c>
      <x:c r="F34" s="28" t="str">
        <x:v>Editorial/research work (unassigned)</x:v>
      </x:c>
      <x:c r="G34" s="23" t="str">
        <x:v>forecast-source</x:v>
      </x:c>
      <x:c r="H34" s="23" t="str">
        <x:f>IF(COUNTIFS(Dependencies!$A$7:$A$50,A34,Dependencies!$D$7:$D$50,"&lt;&gt;Verified output")=0,"Prerequisites met","Prerequisites open")</x:f>
        <x:v>Prerequisites open</x:v>
      </x:c>
      <x:c r="I34" s="23" t="str">
        <x:v>Recovered original predictions, conditions and dates remain immutable; later observations and assessments are separate records. No retroactive threshold is labeled preregistered.</x:v>
      </x:c>
      <x:c r="J34" s="23" t="str"/>
      <x:c r="K34" s="30"/>
      <x:c r="L34" s="28" t="str">
        <x:v>Recovered original predictions, conditions and dates remain immutable; later observations and assessments are separate records. No retroactive threshold is labeled preregistered.</x:v>
      </x:c>
      <x:c r="M34" s="23" t="str">
        <x:v>warnings</x:v>
      </x:c>
      <x:c r="N34" s="23" t="str">
        <x:v>https://v5ma.github.io/theology-wiki/san-reader.html?page=forecast-ledger</x:v>
      </x:c>
      <x:c r="O34" s="23" t="n">
        <x:f>IF(E34="Verified output",1,0)</x:f>
        <x:v>0</x:v>
      </x:c>
      <x:c r="P34" s="23" t="str">
        <x:f>IF(AND(E34="Not started",H34="Prerequisites met"),"Ready","")</x:f>
      </x:c>
    </x:row>
    <x:row r="35" ht="94" customHeight="1">
      <x:c r="A35" s="23" t="str">
        <x:v>chapter-gates</x:v>
      </x:c>
      <x:c r="B35" s="26" t="str">
        <x:v>Attach explicit readiness gates to all chapter routes</x:v>
      </x:c>
      <x:c r="C35" s="23" t="str">
        <x:v>Connect the book</x:v>
      </x:c>
      <x:c r="D35" s="28" t="str">
        <x:v>P0</x:v>
      </x:c>
      <x:c r="E35" s="28" t="str">
        <x:v>Not started</x:v>
      </x:c>
      <x:c r="F35" s="28" t="str">
        <x:v>Editorial/research work (unassigned)</x:v>
      </x:c>
      <x:c r="G35" s="23" t="str">
        <x:v>chapter-arc
dossier-coverage</x:v>
      </x:c>
      <x:c r="H35" s="23" t="str">
        <x:f>IF(COUNTIFS(Dependencies!$A$7:$A$50,A35,Dependencies!$D$7:$D$50,"&lt;&gt;Verified output")=0,"Prerequisites met","Prerequisites open")</x:f>
        <x:v>Prerequisites open</x:v>
      </x:c>
      <x:c r="I35" s="23" t="str">
        <x:v>Each chapter has an argument map, worked sources, competing explanations, attribution, author review and a narrative handoff; no readiness is inferred from word count.</x:v>
      </x:c>
      <x:c r="J35" s="23" t="str"/>
      <x:c r="K35" s="30"/>
      <x:c r="L35" s="28" t="str">
        <x:v>Each chapter has an argument map, worked sources, competing explanations, attribution, author review and a narrative handoff; no readiness is inferred from word count.</x:v>
      </x:c>
      <x:c r="M35" s="23" t="str">
        <x:v>shared-archive
names
catastrophe-memory
teacher-identity
thomas
trauma
images
gnosis
inner-model
faith
scriptural-axis
will
beast
warnings
repair-practice
next-inheritors
continuing</x:v>
      </x:c>
      <x:c r="N35" s="23" t="str">
        <x:v>https://v5ma.github.io/theology-wiki/san-reader.html?page=book-contents</x:v>
      </x:c>
      <x:c r="O35" s="23" t="n">
        <x:f>IF(E35="Verified output",1,0)</x:f>
        <x:v>0</x:v>
      </x:c>
      <x:c r="P35" s="23" t="str">
        <x:f>IF(AND(E35="Not started",H35="Prerequisites met"),"Ready","")</x:f>
      </x:c>
    </x:row>
    <x:row r="36" ht="94" customHeight="1">
      <x:c r="A36" s="23" t="str">
        <x:v>pilot-chapter</x:v>
      </x:c>
      <x:c r="B36" s="26" t="str">
        <x:v>Draft the opening chapter in approved author-led prose</x:v>
      </x:c>
      <x:c r="C36" s="23" t="str">
        <x:v>Assemble chapter drafts</x:v>
      </x:c>
      <x:c r="D36" s="28" t="str">
        <x:v>P1</x:v>
      </x:c>
      <x:c r="E36" s="28" t="str">
        <x:v>Blocked</x:v>
      </x:c>
      <x:c r="F36" s="28" t="str">
        <x:v>Editorial/research work (unassigned)</x:v>
      </x:c>
      <x:c r="G36" s="23" t="str">
        <x:v>chapter-arc
temple-case
book-seed-status</x:v>
      </x:c>
      <x:c r="H36" s="23" t="str">
        <x:f>IF(COUNTIFS(Dependencies!$A$7:$A$50,A36,Dependencies!$D$7:$D$50,"&lt;&gt;Verified output")=0,"Prerequisites met","Prerequisites open")</x:f>
        <x:v>Prerequisites open</x:v>
      </x:c>
      <x:c r="I36" s="23" t="str">
        <x:v>A complete opening chapter develops the inheritance problem and its transition, with author-approved first-person wording and endnotes.</x:v>
      </x:c>
      <x:c r="J36" s="23" t="str"/>
      <x:c r="K36" s="30"/>
      <x:c r="L36" s="28" t="str">
        <x:v>A complete opening chapter develops the inheritance problem and its transition, with author-approved first-person wording and endnotes.</x:v>
      </x:c>
      <x:c r="M36" s="23" t="str">
        <x:v>shared-archive</x:v>
      </x:c>
      <x:c r="N36" s="23" t="str">
        <x:v>https://v5ma.github.io/theology-wiki/san-reader.html?page=sacred-inheritance-and-rival-continuations</x:v>
      </x:c>
      <x:c r="O36" s="23" t="n">
        <x:f>IF(E36="Verified output",1,0)</x:f>
        <x:v>0</x:v>
      </x:c>
      <x:c r="P36" s="23" t="str">
        <x:f>IF(AND(E36="Not started",H36="Prerequisites met"),"Ready","")</x:f>
      </x:c>
    </x:row>
    <x:row r="37" ht="94" customHeight="1">
      <x:c r="A37" s="23" t="str">
        <x:v>manuscript-build</x:v>
      </x:c>
      <x:c r="B37" s="26" t="str">
        <x:v>Build a reproducible ordered manuscript</x:v>
      </x:c>
      <x:c r="C37" s="23" t="str">
        <x:v>Assemble chapter drafts</x:v>
      </x:c>
      <x:c r="D37" s="28" t="str">
        <x:v>P1</x:v>
      </x:c>
      <x:c r="E37" s="28" t="str">
        <x:v>Not started</x:v>
      </x:c>
      <x:c r="F37" s="28" t="str">
        <x:v>Editorial/research work (unassigned)</x:v>
      </x:c>
      <x:c r="G37" s="23" t="str">
        <x:v>pilot-chapter
chapter-gates</x:v>
      </x:c>
      <x:c r="H37" s="23" t="str">
        <x:f>IF(COUNTIFS(Dependencies!$A$7:$A$50,A37,Dependencies!$D$7:$D$50,"&lt;&gt;Verified output")=0,"Prerequisites met","Prerequisites open")</x:f>
        <x:v>Prerequisites open</x:v>
      </x:c>
      <x:c r="I37" s="23" t="str">
        <x:v>A pinned chapter map produces manuscript text, stable cross-references and endnotes without copying chat boilerplate. No automatic author-approval flag.</x:v>
      </x:c>
      <x:c r="J37" s="23" t="str"/>
      <x:c r="K37" s="30"/>
      <x:c r="L37" s="28" t="str">
        <x:v>A pinned chapter map produces manuscript text, stable cross-references and endnotes without copying chat boilerplate. No automatic author-approval flag.</x:v>
      </x:c>
      <x:c r="M37" s="23" t="str"/>
      <x:c r="N37" s="23" t="str">
        <x:v>https://v5ma.github.io/theology-wiki/san-reader.html?page=book-contents</x:v>
      </x:c>
      <x:c r="O37" s="23" t="n">
        <x:f>IF(E37="Verified output",1,0)</x:f>
        <x:v>0</x:v>
      </x:c>
      <x:c r="P37" s="23" t="str">
        <x:f>IF(AND(E37="Not started",H37="Prerequisites met"),"Ready","")</x:f>
      </x:c>
    </x:row>
    <x:row r="38" ht="94" customHeight="1">
      <x:c r="A38" s="23" t="str">
        <x:v>author-fidelity</x:v>
      </x:c>
      <x:c r="B38" s="26" t="str">
        <x:v>Review the full manuscript for argument preservation</x:v>
      </x:c>
      <x:c r="C38" s="23" t="str">
        <x:v>Review meaning and presentation</x:v>
      </x:c>
      <x:c r="D38" s="28" t="str">
        <x:v>P0</x:v>
      </x:c>
      <x:c r="E38" s="28" t="str">
        <x:v>Blocked</x:v>
      </x:c>
      <x:c r="F38" s="28" t="str">
        <x:v>Editorial/research work (unassigned)</x:v>
      </x:c>
      <x:c r="G38" s="23" t="str">
        <x:v>manuscript-build</x:v>
      </x:c>
      <x:c r="H38" s="23" t="str">
        <x:f>IF(COUNTIFS(Dependencies!$A$7:$A$50,A38,Dependencies!$D$7:$D$50,"&lt;&gt;Verified output")=0,"Prerequisites met","Prerequisites open")</x:f>
        <x:v>Prerequisites open</x:v>
      </x:c>
      <x:c r="I38" s="23" t="str">
        <x:v>Micah approves the manuscript argument by argument, including qualifications, intellectual debts, version distinctions and original corrections.</x:v>
      </x:c>
      <x:c r="J38" s="23" t="str"/>
      <x:c r="K38" s="30"/>
      <x:c r="L38" s="28" t="str">
        <x:v>Micah approves the manuscript argument by argument, including qualifications, intellectual debts, version distinctions and original corrections.</x:v>
      </x:c>
      <x:c r="M38" s="23" t="str"/>
      <x:c r="N38" s="23" t="str">
        <x:v>https://v5ma.github.io/theology-wiki/san-reader.html?page=book-contents</x:v>
      </x:c>
      <x:c r="O38" s="23" t="n">
        <x:f>IF(E38="Verified output",1,0)</x:f>
        <x:v>0</x:v>
      </x:c>
      <x:c r="P38" s="23" t="str">
        <x:f>IF(AND(E38="Not started",H38="Prerequisites met"),"Ready","")</x:f>
      </x:c>
    </x:row>
    <x:row r="39" ht="94" customHeight="1">
      <x:c r="A39" s="23" t="str">
        <x:v>bibliography-rights</x:v>
      </x:c>
      <x:c r="B39" s="26" t="str">
        <x:v>Audit bibliography, quotations and image rights</x:v>
      </x:c>
      <x:c r="C39" s="23" t="str">
        <x:v>Review meaning and presentation</x:v>
      </x:c>
      <x:c r="D39" s="28" t="str">
        <x:v>P0</x:v>
      </x:c>
      <x:c r="E39" s="28" t="str">
        <x:v>Not started</x:v>
      </x:c>
      <x:c r="F39" s="28" t="str">
        <x:v>Editorial/research work (unassigned)</x:v>
      </x:c>
      <x:c r="G39" s="23" t="str">
        <x:v>tabor-citations
melchizedek
manuscript-build</x:v>
      </x:c>
      <x:c r="H39" s="23" t="str">
        <x:f>IF(COUNTIFS(Dependencies!$A$7:$A$50,A39,Dependencies!$D$7:$D$50,"&lt;&gt;Verified output")=0,"Prerequisites met","Prerequisites open")</x:f>
        <x:v>Prerequisites open</x:v>
      </x:c>
      <x:c r="I39" s="23" t="str">
        <x:v>Every scholarly claim has a consulted edition/location; all quotation and image licenses and required credits are checked.</x:v>
      </x:c>
      <x:c r="J39" s="23" t="str"/>
      <x:c r="K39" s="30"/>
      <x:c r="L39" s="28" t="str">
        <x:v>Every scholarly claim has a consulted edition/location; all quotation and image licenses and required credits are checked.</x:v>
      </x:c>
      <x:c r="M39" s="23" t="str"/>
      <x:c r="N39" s="23" t="str">
        <x:v>https://v5ma.github.io/theology-wiki/san-reader.html?page=intellectual-debts
https://v5ma.github.io/theology-wiki/san-reader.html?page=image-collection</x:v>
      </x:c>
      <x:c r="O39" s="23" t="n">
        <x:f>IF(E39="Verified output",1,0)</x:f>
        <x:v>0</x:v>
      </x:c>
      <x:c r="P39" s="23" t="str">
        <x:f>IF(AND(E39="Not started",H39="Prerequisites met"),"Ready","")</x:f>
      </x:c>
    </x:row>
    <x:row r="40" ht="94" customHeight="1">
      <x:c r="A40" s="23" t="str">
        <x:v>copyedit</x:v>
      </x:c>
      <x:c r="B40" s="26" t="str">
        <x:v>Edit flow, terminology and cross-chapter consistency</x:v>
      </x:c>
      <x:c r="C40" s="23" t="str">
        <x:v>Review meaning and presentation</x:v>
      </x:c>
      <x:c r="D40" s="28" t="str">
        <x:v>P1</x:v>
      </x:c>
      <x:c r="E40" s="28" t="str">
        <x:v>Not started</x:v>
      </x:c>
      <x:c r="F40" s="28" t="str">
        <x:v>Editorial/research work (unassigned)</x:v>
      </x:c>
      <x:c r="G40" s="23" t="str">
        <x:v>author-fidelity
bibliography-rights</x:v>
      </x:c>
      <x:c r="H40" s="23" t="str">
        <x:f>IF(COUNTIFS(Dependencies!$A$7:$A$50,A40,Dependencies!$D$7:$D$50,"&lt;&gt;Verified output")=0,"Prerequisites met","Prerequisites open")</x:f>
        <x:v>Prerequisites open</x:v>
      </x:c>
      <x:c r="I40" s="23" t="str">
        <x:v>Remove duplication and inconsistent terms without deleting substantive distinctions; maintain a traceable editorial change log.</x:v>
      </x:c>
      <x:c r="J40" s="23" t="str"/>
      <x:c r="K40" s="30"/>
      <x:c r="L40" s="28" t="str">
        <x:v>Remove duplication and inconsistent terms without deleting substantive distinctions; maintain a traceable editorial change log.</x:v>
      </x:c>
      <x:c r="M40" s="23" t="str"/>
      <x:c r="N40" s="23" t="str">
        <x:v>https://v5ma.github.io/theology-wiki/san-reader.html?page=book-contents</x:v>
      </x:c>
      <x:c r="O40" s="23" t="n">
        <x:f>IF(E40="Verified output",1,0)</x:f>
        <x:v>0</x:v>
      </x:c>
      <x:c r="P40" s="23" t="str">
        <x:f>IF(AND(E40="Not started",H40="Prerequisites met"),"Ready","")</x:f>
      </x:c>
    </x:row>
    <x:row r="41" ht="94" customHeight="1">
      <x:c r="A41" s="23" t="str">
        <x:v>publication-qa</x:v>
      </x:c>
      <x:c r="B41" s="26" t="str">
        <x:v>Verify publication artifacts and reader accessibility</x:v>
      </x:c>
      <x:c r="C41" s="23" t="str">
        <x:v>Prepare a stable edition</x:v>
      </x:c>
      <x:c r="D41" s="28" t="str">
        <x:v>P0</x:v>
      </x:c>
      <x:c r="E41" s="28" t="str">
        <x:v>Not started</x:v>
      </x:c>
      <x:c r="F41" s="28" t="str">
        <x:v>Editorial/research work (unassigned)</x:v>
      </x:c>
      <x:c r="G41" s="23" t="str">
        <x:v>copyedit</x:v>
      </x:c>
      <x:c r="H41" s="23" t="str">
        <x:f>IF(COUNTIFS(Dependencies!$A$7:$A$50,A41,Dependencies!$D$7:$D$50,"&lt;&gt;Verified output")=0,"Prerequisites met","Prerequisites open")</x:f>
        <x:v>Prerequisites open</x:v>
      </x:c>
      <x:c r="I41" s="23" t="str">
        <x:v>Run complete content/browser checks, read every print-layout page, verify links and credits, and archive the exact approved edition.</x:v>
      </x:c>
      <x:c r="J41" s="23" t="str"/>
      <x:c r="K41" s="30"/>
      <x:c r="L41" s="28" t="str">
        <x:v>Run complete content/browser checks, read every print-layout page, verify links and credits, and archive the exact approved edition.</x:v>
      </x:c>
      <x:c r="M41" s="23" t="str"/>
      <x:c r="N41" s="23" t="str">
        <x:v>https://v5ma.github.io/theology-wiki/san-reader.html?page=research-roadmap</x:v>
      </x:c>
      <x:c r="O41" s="23" t="n">
        <x:f>IF(E41="Verified output",1,0)</x:f>
        <x:v>0</x:v>
      </x:c>
      <x:c r="P41" s="23" t="str">
        <x:f>IF(AND(E41="Not started",H41="Prerequisites met"),"Ready","")</x:f>
      </x:c>
    </x:row>
    <x:row r="42" ht="94" customHeight="1">
      <x:c r="A42" s="23" t="str">
        <x:v>release-edition</x:v>
      </x:c>
      <x:c r="B42" s="26" t="str">
        <x:v>Publish an author-approved edition and companion wiki</x:v>
      </x:c>
      <x:c r="C42" s="23" t="str">
        <x:v>Prepare a stable edition</x:v>
      </x:c>
      <x:c r="D42" s="28" t="str">
        <x:v>P1</x:v>
      </x:c>
      <x:c r="E42" s="28" t="str">
        <x:v>Blocked</x:v>
      </x:c>
      <x:c r="F42" s="28" t="str">
        <x:v>Editorial/research work (unassigned)</x:v>
      </x:c>
      <x:c r="G42" s="23" t="str">
        <x:v>publication-qa
author-fidelity</x:v>
      </x:c>
      <x:c r="H42" s="23" t="str">
        <x:f>IF(COUNTIFS(Dependencies!$A$7:$A$50,A42,Dependencies!$D$7:$D$50,"&lt;&gt;Verified output")=0,"Prerequisites met","Prerequisites open")</x:f>
        <x:v>Prerequisites open</x:v>
      </x:c>
      <x:c r="I42" s="23" t="str">
        <x:v>Publish only after author sign-off, rights and technical checks; pin source versions and maintain a dated errata record.</x:v>
      </x:c>
      <x:c r="J42" s="23" t="str"/>
      <x:c r="K42" s="30"/>
      <x:c r="L42" s="28" t="str">
        <x:v>Publish only after author sign-off, rights and technical checks; pin source versions and maintain a dated errata record.</x:v>
      </x:c>
      <x:c r="M42" s="23" t="str"/>
      <x:c r="N42" s="23" t="str">
        <x:v>https://v5ma.github.io/theology-wiki/san-reader.html?page=book-contents</x:v>
      </x:c>
      <x:c r="O42" s="23" t="n">
        <x:f>IF(E42="Verified output",1,0)</x:f>
        <x:v>0</x:v>
      </x:c>
      <x:c r="P42" s="23" t="str">
        <x:f>IF(AND(E42="Not started",H42="Prerequisites met"),"Ready","")</x:f>
      </x:c>
    </x:row>
  </x:sheetData>
  <x:mergeCells>
    <x:mergeCell ref="A1:P1"/>
    <x:mergeCell ref="A2:P3"/>
    <x:mergeCell ref="A5:P5"/>
  </x:mergeCells>
  <x:conditionalFormatting sqref="E7:E42">
    <x:cfRule type="expression" dxfId="0" priority="1">
      <x:formula>E7="Verified output"</x:formula>
    </x:cfRule>
    <x:cfRule type="expression" dxfId="1" priority="2">
      <x:formula>E7="Blocked"</x:formula>
    </x:cfRule>
  </x:conditionalFormatting>
  <x:dataValidations count="2">
    <x:dataValidation type="list" sqref="E7:E42">
      <x:formula1>"Not started,In progress,Draft,Author review,Verified output,Blocked"</x:formula1>
    </x:dataValidation>
    <x:dataValidation type="list" sqref="D7:D42">
      <x:formula1>"P0,P1,P2"</x:formula1>
    </x:dataValidation>
  </x:dataValidations>
  <x:pageMargins left="0.7" right="0.7" top="0.75" bottom="0.75" header="0.3" footer="0.3"/>
  <x:tableParts count="1">
    <x:tablePart xmlns:r="http://schemas.openxmlformats.org/officeDocument/2006/relationships" r:id="Rd1c39240d74644ab"/>
  </x:tableParts>
</x:worksheet>
</file>

<file path=xl/worksheets/sheet3.xml><?xml version="1.0" encoding="utf-8"?>
<x:worksheet xmlns:x="http://schemas.openxmlformats.org/spreadsheetml/2006/main">
  <x:sheetFormatPr defaultRowHeight="15"/>
  <x:cols>
    <x:col min="1" max="1" width="28" hidden="0" customWidth="1"/>
    <x:col min="2" max="2" width="28" hidden="0" customWidth="1"/>
    <x:col min="3" max="3" width="48" hidden="0" customWidth="1"/>
    <x:col min="4" max="4" width="24" hidden="0" customWidth="1"/>
    <x:col min="5" max="5" width="15" hidden="0" customWidth="1"/>
    <x:col min="6" max="6" width="70" hidden="0" customWidth="1"/>
  </x:cols>
  <x:sheetData>
    <x:row r="1" ht="36" customHeight="1">
      <x:c r="A1" s="69" t="str">
        <x:v>Theology | Dependency edges</x:v>
      </x:c>
      <x:c r="B1" s="69"/>
      <x:c r="C1" s="69"/>
      <x:c r="D1" s="69"/>
      <x:c r="E1" s="69"/>
      <x:c r="F1" s="69"/>
    </x:row>
    <x:row r="2" ht="22" customHeight="1">
      <x:c r="A2" s="71" t="str">
        <x:v>Each row is a work-order dependency. It is not a logical entailment between theological claims. Status and satisfaction recalculate from Checklist.</x:v>
      </x:c>
      <x:c r="B2" s="71"/>
      <x:c r="C2" s="71"/>
      <x:c r="D2" s="71"/>
      <x:c r="E2" s="71"/>
      <x:c r="F2" s="71"/>
    </x:row>
    <x:row r="3" ht="22" customHeight="1">
      <x:c r="A3" s="71"/>
      <x:c r="B3" s="71"/>
      <x:c r="C3" s="71"/>
      <x:c r="D3" s="71"/>
      <x:c r="E3" s="71"/>
      <x:c r="F3" s="71"/>
    </x:row>
    <x:row r="4">
      <x:c r="A4" s="2"/>
      <x:c r="B4" s="2"/>
      <x:c r="C4" s="2"/>
      <x:c r="D4" s="2"/>
      <x:c r="E4" s="2"/>
      <x:c r="F4" s="2"/>
    </x:row>
    <x:row r="5" ht="20" customHeight="1">
      <x:c r="A5" s="72" t="str">
        <x:v>Content edition: 2026.09.06-james-transmission-1</x:v>
      </x:c>
      <x:c r="B5" s="14"/>
      <x:c r="C5" s="14"/>
      <x:c r="D5" s="14"/>
      <x:c r="E5" s="14"/>
      <x:c r="F5" s="14"/>
    </x:row>
    <x:row r="6" ht="32" customHeight="1">
      <x:c r="A6" s="18" t="str">
        <x:v>Task ID</x:v>
      </x:c>
      <x:c r="B6" s="18" t="str">
        <x:v>Prerequisite ID</x:v>
      </x:c>
      <x:c r="C6" s="18" t="str">
        <x:v>Prerequisite deliverable</x:v>
      </x:c>
      <x:c r="D6" s="18" t="str">
        <x:v>Prerequisite status</x:v>
      </x:c>
      <x:c r="E6" s="18" t="str">
        <x:v>Satisfied</x:v>
      </x:c>
      <x:c r="F6" s="18" t="str">
        <x:v>Reader URL</x:v>
      </x:c>
    </x:row>
    <x:row r="7" ht="64" customHeight="1">
      <x:c r="A7" s="23" t="str">
        <x:v>shared-roadmap</x:v>
      </x:c>
      <x:c r="B7" s="23" t="str">
        <x:v>archive-integrity</x:v>
      </x:c>
      <x:c r="C7" s="23" t="str">
        <x:v>Preserve and verify all 354 published chats</x:v>
      </x:c>
      <x:c r="D7" s="23" t="str">
        <x:f>IFERROR(INDEX(Checklist!$E$7:$E$42,MATCH(B7,Checklist!$A$7:$A$42,0)),"Unknown ID")</x:f>
        <x:v>Verified output</x:v>
      </x:c>
      <x:c r="E7" s="23" t="n">
        <x:f>IF(D7="Verified output",1,0)</x:f>
        <x:v>1</x:v>
      </x:c>
      <x:c r="F7" s="23" t="str">
        <x:v>https://v5ma.github.io/theology-wiki/san-reader.html?page=research-roadmap&amp;task=archive-integrity</x:v>
      </x:c>
    </x:row>
    <x:row r="8" ht="64" customHeight="1">
      <x:c r="A8" s="23" t="str">
        <x:v>coverage-register</x:v>
      </x:c>
      <x:c r="B8" s="23" t="str">
        <x:v>archive-integrity</x:v>
      </x:c>
      <x:c r="C8" s="23" t="str">
        <x:v>Preserve and verify all 354 published chats</x:v>
      </x:c>
      <x:c r="D8" s="23" t="str">
        <x:f>IFERROR(INDEX(Checklist!$E$7:$E$42,MATCH(B8,Checklist!$A$7:$A$42,0)),"Unknown ID")</x:f>
        <x:v>Verified output</x:v>
      </x:c>
      <x:c r="E8" s="23" t="n">
        <x:f>IF(D8="Verified output",1,0)</x:f>
        <x:v>1</x:v>
      </x:c>
      <x:c r="F8" s="23" t="str">
        <x:v>https://v5ma.github.io/theology-wiki/san-reader.html?page=research-roadmap&amp;task=archive-integrity</x:v>
      </x:c>
    </x:row>
    <x:row r="9" ht="64" customHeight="1">
      <x:c r="A9" s="23" t="str">
        <x:v>planning-workbook</x:v>
      </x:c>
      <x:c r="B9" s="23" t="str">
        <x:v>shared-roadmap</x:v>
      </x:c>
      <x:c r="C9" s="23" t="str">
        <x:v>Publish the durable roadmap and dependency checks</x:v>
      </x:c>
      <x:c r="D9" s="23" t="str">
        <x:f>IFERROR(INDEX(Checklist!$E$7:$E$42,MATCH(B9,Checklist!$A$7:$A$42,0)),"Unknown ID")</x:f>
        <x:v>Verified output</x:v>
      </x:c>
      <x:c r="E9" s="23" t="n">
        <x:f>IF(D9="Verified output",1,0)</x:f>
        <x:v>1</x:v>
      </x:c>
      <x:c r="F9" s="23" t="str">
        <x:v>https://v5ma.github.io/theology-wiki/san-reader.html?page=research-roadmap&amp;task=shared-roadmap</x:v>
      </x:c>
    </x:row>
    <x:row r="10" ht="64" customHeight="1">
      <x:c r="A10" s="23" t="str">
        <x:v>planning-workbook</x:v>
      </x:c>
      <x:c r="B10" s="23" t="str">
        <x:v>coverage-register</x:v>
      </x:c>
      <x:c r="C10" s="23" t="str">
        <x:v>Publish complete source-to-article and chapter coverage</x:v>
      </x:c>
      <x:c r="D10" s="23" t="str">
        <x:f>IFERROR(INDEX(Checklist!$E$7:$E$42,MATCH(B10,Checklist!$A$7:$A$42,0)),"Unknown ID")</x:f>
        <x:v>Verified output</x:v>
      </x:c>
      <x:c r="E10" s="23" t="n">
        <x:f>IF(D10="Verified output",1,0)</x:f>
        <x:v>1</x:v>
      </x:c>
      <x:c r="F10" s="23" t="str">
        <x:v>https://v5ma.github.io/theology-wiki/san-reader.html?page=research-roadmap&amp;task=coverage-register</x:v>
      </x:c>
    </x:row>
    <x:row r="11" ht="64" customHeight="1">
      <x:c r="A11" s="23" t="str">
        <x:v>melchizedek-first-pass</x:v>
      </x:c>
      <x:c r="B11" s="23" t="str">
        <x:v>archive-integrity</x:v>
      </x:c>
      <x:c r="C11" s="23" t="str">
        <x:v>Preserve and verify all 354 published chats</x:v>
      </x:c>
      <x:c r="D11" s="23" t="str">
        <x:f>IFERROR(INDEX(Checklist!$E$7:$E$42,MATCH(B11,Checklist!$A$7:$A$42,0)),"Unknown ID")</x:f>
        <x:v>Verified output</x:v>
      </x:c>
      <x:c r="E11" s="23" t="n">
        <x:f>IF(D11="Verified output",1,0)</x:f>
        <x:v>1</x:v>
      </x:c>
      <x:c r="F11" s="23" t="str">
        <x:v>https://v5ma.github.io/theology-wiki/san-reader.html?page=research-roadmap&amp;task=archive-integrity</x:v>
      </x:c>
    </x:row>
    <x:row r="12" ht="64" customHeight="1">
      <x:c r="A12" s="23" t="str">
        <x:v>tor-version</x:v>
      </x:c>
      <x:c r="B12" s="23" t="str">
        <x:v>scope-baseline</x:v>
      </x:c>
      <x:c r="C12" s="23" t="str">
        <x:v>Preserve selected argument maps and author corrections</x:v>
      </x:c>
      <x:c r="D12" s="23" t="str">
        <x:f>IFERROR(INDEX(Checklist!$E$7:$E$42,MATCH(B12,Checklist!$A$7:$A$42,0)),"Unknown ID")</x:f>
        <x:v>Verified output</x:v>
      </x:c>
      <x:c r="E12" s="23" t="n">
        <x:f>IF(D12="Verified output",1,0)</x:f>
        <x:v>1</x:v>
      </x:c>
      <x:c r="F12" s="23" t="str">
        <x:v>https://v5ma.github.io/theology-wiki/san-reader.html?page=research-roadmap&amp;task=scope-baseline</x:v>
      </x:c>
    </x:row>
    <x:row r="13" ht="64" customHeight="1">
      <x:c r="A13" s="23" t="str">
        <x:v>tor-version</x:v>
      </x:c>
      <x:c r="B13" s="23" t="str">
        <x:v>melchizedek-first-pass</x:v>
      </x:c>
      <x:c r="C13" s="23" t="str">
        <x:v>Write the first passage-level Melchizedek comparison</x:v>
      </x:c>
      <x:c r="D13" s="23" t="str">
        <x:f>IFERROR(INDEX(Checklist!$E$7:$E$42,MATCH(B13,Checklist!$A$7:$A$42,0)),"Unknown ID")</x:f>
        <x:v>Verified output</x:v>
      </x:c>
      <x:c r="E13" s="23" t="n">
        <x:f>IF(D13="Verified output",1,0)</x:f>
        <x:v>1</x:v>
      </x:c>
      <x:c r="F13" s="23" t="str">
        <x:v>https://v5ma.github.io/theology-wiki/san-reader.html?page=research-roadmap&amp;task=melchizedek-first-pass</x:v>
      </x:c>
    </x:row>
    <x:row r="14" ht="64" customHeight="1">
      <x:c r="A14" s="23" t="str">
        <x:v>thomas-passages</x:v>
      </x:c>
      <x:c r="B14" s="23" t="str">
        <x:v>archive-integrity</x:v>
      </x:c>
      <x:c r="C14" s="23" t="str">
        <x:v>Preserve and verify all 354 published chats</x:v>
      </x:c>
      <x:c r="D14" s="23" t="str">
        <x:f>IFERROR(INDEX(Checklist!$E$7:$E$42,MATCH(B14,Checklist!$A$7:$A$42,0)),"Unknown ID")</x:f>
        <x:v>Verified output</x:v>
      </x:c>
      <x:c r="E14" s="23" t="n">
        <x:f>IF(D14="Verified output",1,0)</x:f>
        <x:v>1</x:v>
      </x:c>
      <x:c r="F14" s="23" t="str">
        <x:v>https://v5ma.github.io/theology-wiki/san-reader.html?page=research-roadmap&amp;task=archive-integrity</x:v>
      </x:c>
    </x:row>
    <x:row r="15" ht="64" customHeight="1">
      <x:c r="A15" s="23" t="str">
        <x:v>melchizedek</x:v>
      </x:c>
      <x:c r="B15" s="23" t="str">
        <x:v>melchizedek-first-pass</x:v>
      </x:c>
      <x:c r="C15" s="23" t="str">
        <x:v>Write the first passage-level Melchizedek comparison</x:v>
      </x:c>
      <x:c r="D15" s="23" t="str">
        <x:f>IFERROR(INDEX(Checklist!$E$7:$E$42,MATCH(B15,Checklist!$A$7:$A$42,0)),"Unknown ID")</x:f>
        <x:v>Verified output</x:v>
      </x:c>
      <x:c r="E15" s="23" t="n">
        <x:f>IF(D15="Verified output",1,0)</x:f>
        <x:v>1</x:v>
      </x:c>
      <x:c r="F15" s="23" t="str">
        <x:v>https://v5ma.github.io/theology-wiki/san-reader.html?page=research-roadmap&amp;task=melchizedek-first-pass</x:v>
      </x:c>
    </x:row>
    <x:row r="16" ht="64" customHeight="1">
      <x:c r="A16" s="23" t="str">
        <x:v>tabor-citations</x:v>
      </x:c>
      <x:c r="B16" s="23" t="str">
        <x:v>scope-baseline</x:v>
      </x:c>
      <x:c r="C16" s="23" t="str">
        <x:v>Preserve selected argument maps and author corrections</x:v>
      </x:c>
      <x:c r="D16" s="23" t="str">
        <x:f>IFERROR(INDEX(Checklist!$E$7:$E$42,MATCH(B16,Checklist!$A$7:$A$42,0)),"Unknown ID")</x:f>
        <x:v>Verified output</x:v>
      </x:c>
      <x:c r="E16" s="23" t="n">
        <x:f>IF(D16="Verified output",1,0)</x:f>
        <x:v>1</x:v>
      </x:c>
      <x:c r="F16" s="23" t="str">
        <x:v>https://v5ma.github.io/theology-wiki/san-reader.html?page=research-roadmap&amp;task=scope-baseline</x:v>
      </x:c>
    </x:row>
    <x:row r="17" ht="64" customHeight="1">
      <x:c r="A17" s="23" t="str">
        <x:v>egypt-ethiopia</x:v>
      </x:c>
      <x:c r="B17" s="23" t="str">
        <x:v>melchizedek-first-pass</x:v>
      </x:c>
      <x:c r="C17" s="23" t="str">
        <x:v>Write the first passage-level Melchizedek comparison</x:v>
      </x:c>
      <x:c r="D17" s="23" t="str">
        <x:f>IFERROR(INDEX(Checklist!$E$7:$E$42,MATCH(B17,Checklist!$A$7:$A$42,0)),"Unknown ID")</x:f>
        <x:v>Verified output</x:v>
      </x:c>
      <x:c r="E17" s="23" t="n">
        <x:f>IF(D17="Verified output",1,0)</x:f>
        <x:v>1</x:v>
      </x:c>
      <x:c r="F17" s="23" t="str">
        <x:v>https://v5ma.github.io/theology-wiki/san-reader.html?page=research-roadmap&amp;task=melchizedek-first-pass</x:v>
      </x:c>
    </x:row>
    <x:row r="18" ht="64" customHeight="1">
      <x:c r="A18" s="23" t="str">
        <x:v>priesthood</x:v>
      </x:c>
      <x:c r="B18" s="23" t="str">
        <x:v>melchizedek-first-pass</x:v>
      </x:c>
      <x:c r="C18" s="23" t="str">
        <x:v>Write the first passage-level Melchizedek comparison</x:v>
      </x:c>
      <x:c r="D18" s="23" t="str">
        <x:f>IFERROR(INDEX(Checklist!$E$7:$E$42,MATCH(B18,Checklist!$A$7:$A$42,0)),"Unknown ID")</x:f>
        <x:v>Verified output</x:v>
      </x:c>
      <x:c r="E18" s="23" t="n">
        <x:f>IF(D18="Verified output",1,0)</x:f>
        <x:v>1</x:v>
      </x:c>
      <x:c r="F18" s="23" t="str">
        <x:v>https://v5ma.github.io/theology-wiki/san-reader.html?page=research-roadmap&amp;task=melchizedek-first-pass</x:v>
      </x:c>
    </x:row>
    <x:row r="19" ht="64" customHeight="1">
      <x:c r="A19" s="23" t="str">
        <x:v>will</x:v>
      </x:c>
      <x:c r="B19" s="23" t="str">
        <x:v>scope-baseline</x:v>
      </x:c>
      <x:c r="C19" s="23" t="str">
        <x:v>Preserve selected argument maps and author corrections</x:v>
      </x:c>
      <x:c r="D19" s="23" t="str">
        <x:f>IFERROR(INDEX(Checklist!$E$7:$E$42,MATCH(B19,Checklist!$A$7:$A$42,0)),"Unknown ID")</x:f>
        <x:v>Verified output</x:v>
      </x:c>
      <x:c r="E19" s="23" t="n">
        <x:f>IF(D19="Verified output",1,0)</x:f>
        <x:v>1</x:v>
      </x:c>
      <x:c r="F19" s="23" t="str">
        <x:v>https://v5ma.github.io/theology-wiki/san-reader.html?page=research-roadmap&amp;task=scope-baseline</x:v>
      </x:c>
    </x:row>
    <x:row r="20" ht="64" customHeight="1">
      <x:c r="A20" s="23" t="str">
        <x:v>mixed-cases</x:v>
      </x:c>
      <x:c r="B20" s="23" t="str">
        <x:v>archive-integrity</x:v>
      </x:c>
      <x:c r="C20" s="23" t="str">
        <x:v>Preserve and verify all 354 published chats</x:v>
      </x:c>
      <x:c r="D20" s="23" t="str">
        <x:f>IFERROR(INDEX(Checklist!$E$7:$E$42,MATCH(B20,Checklist!$A$7:$A$42,0)),"Unknown ID")</x:f>
        <x:v>Verified output</x:v>
      </x:c>
      <x:c r="E20" s="23" t="n">
        <x:f>IF(D20="Verified output",1,0)</x:f>
        <x:v>1</x:v>
      </x:c>
      <x:c r="F20" s="23" t="str">
        <x:v>https://v5ma.github.io/theology-wiki/san-reader.html?page=research-roadmap&amp;task=archive-integrity</x:v>
      </x:c>
    </x:row>
    <x:row r="21" ht="64" customHeight="1">
      <x:c r="A21" s="23" t="str">
        <x:v>coherence</x:v>
      </x:c>
      <x:c r="B21" s="23" t="str">
        <x:v>scope-baseline</x:v>
      </x:c>
      <x:c r="C21" s="23" t="str">
        <x:v>Preserve selected argument maps and author corrections</x:v>
      </x:c>
      <x:c r="D21" s="23" t="str">
        <x:f>IFERROR(INDEX(Checklist!$E$7:$E$42,MATCH(B21,Checklist!$A$7:$A$42,0)),"Unknown ID")</x:f>
        <x:v>Verified output</x:v>
      </x:c>
      <x:c r="E21" s="23" t="n">
        <x:f>IF(D21="Verified output",1,0)</x:f>
        <x:v>1</x:v>
      </x:c>
      <x:c r="F21" s="23" t="str">
        <x:v>https://v5ma.github.io/theology-wiki/san-reader.html?page=research-roadmap&amp;task=scope-baseline</x:v>
      </x:c>
    </x:row>
    <x:row r="22" ht="64" customHeight="1">
      <x:c r="A22" s="23" t="str">
        <x:v>inner-model</x:v>
      </x:c>
      <x:c r="B22" s="23" t="str">
        <x:v>scope-baseline</x:v>
      </x:c>
      <x:c r="C22" s="23" t="str">
        <x:v>Preserve selected argument maps and author corrections</x:v>
      </x:c>
      <x:c r="D22" s="23" t="str">
        <x:f>IFERROR(INDEX(Checklist!$E$7:$E$42,MATCH(B22,Checklist!$A$7:$A$42,0)),"Unknown ID")</x:f>
        <x:v>Verified output</x:v>
      </x:c>
      <x:c r="E22" s="23" t="n">
        <x:f>IF(D22="Verified output",1,0)</x:f>
        <x:v>1</x:v>
      </x:c>
      <x:c r="F22" s="23" t="str">
        <x:v>https://v5ma.github.io/theology-wiki/san-reader.html?page=research-roadmap&amp;task=scope-baseline</x:v>
      </x:c>
    </x:row>
    <x:row r="23" ht="64" customHeight="1">
      <x:c r="A23" s="23" t="str">
        <x:v>forecast-source</x:v>
      </x:c>
      <x:c r="B23" s="23" t="str">
        <x:v>archive-integrity</x:v>
      </x:c>
      <x:c r="C23" s="23" t="str">
        <x:v>Preserve and verify all 354 published chats</x:v>
      </x:c>
      <x:c r="D23" s="23" t="str">
        <x:f>IFERROR(INDEX(Checklist!$E$7:$E$42,MATCH(B23,Checklist!$A$7:$A$42,0)),"Unknown ID")</x:f>
        <x:v>Verified output</x:v>
      </x:c>
      <x:c r="E23" s="23" t="n">
        <x:f>IF(D23="Verified output",1,0)</x:f>
        <x:v>1</x:v>
      </x:c>
      <x:c r="F23" s="23" t="str">
        <x:v>https://v5ma.github.io/theology-wiki/san-reader.html?page=research-roadmap&amp;task=archive-integrity</x:v>
      </x:c>
    </x:row>
    <x:row r="24" ht="64" customHeight="1">
      <x:c r="A24" s="23" t="str">
        <x:v>trauma</x:v>
      </x:c>
      <x:c r="B24" s="23" t="str">
        <x:v>archive-integrity</x:v>
      </x:c>
      <x:c r="C24" s="23" t="str">
        <x:v>Preserve and verify all 354 published chats</x:v>
      </x:c>
      <x:c r="D24" s="23" t="str">
        <x:f>IFERROR(INDEX(Checklist!$E$7:$E$42,MATCH(B24,Checklist!$A$7:$A$42,0)),"Unknown ID")</x:f>
        <x:v>Verified output</x:v>
      </x:c>
      <x:c r="E24" s="23" t="n">
        <x:f>IF(D24="Verified output",1,0)</x:f>
        <x:v>1</x:v>
      </x:c>
      <x:c r="F24" s="23" t="str">
        <x:v>https://v5ma.github.io/theology-wiki/san-reader.html?page=research-roadmap&amp;task=archive-integrity</x:v>
      </x:c>
    </x:row>
    <x:row r="25" ht="64" customHeight="1">
      <x:c r="A25" s="23" t="str">
        <x:v>formalism</x:v>
      </x:c>
      <x:c r="B25" s="23" t="str">
        <x:v>contents-baseline</x:v>
      </x:c>
      <x:c r="C25" s="23" t="str">
        <x:v>Preserve seventeen proposed chapter routes</x:v>
      </x:c>
      <x:c r="D25" s="23" t="str">
        <x:f>IFERROR(INDEX(Checklist!$E$7:$E$42,MATCH(B25,Checklist!$A$7:$A$42,0)),"Unknown ID")</x:f>
        <x:v>Verified output</x:v>
      </x:c>
      <x:c r="E25" s="23" t="n">
        <x:f>IF(D25="Verified output",1,0)</x:f>
        <x:v>1</x:v>
      </x:c>
      <x:c r="F25" s="23" t="str">
        <x:v>https://v5ma.github.io/theology-wiki/san-reader.html?page=research-roadmap&amp;task=contents-baseline</x:v>
      </x:c>
    </x:row>
    <x:row r="26" ht="64" customHeight="1">
      <x:c r="A26" s="23" t="str">
        <x:v>robot-reciprocity</x:v>
      </x:c>
      <x:c r="B26" s="23" t="str">
        <x:v>coherence</x:v>
      </x:c>
      <x:c r="C26" s="23" t="str">
        <x:v>Specify the different senses of coherence</x:v>
      </x:c>
      <x:c r="D26" s="23" t="str">
        <x:f>IFERROR(INDEX(Checklist!$E$7:$E$42,MATCH(B26,Checklist!$A$7:$A$42,0)),"Unknown ID")</x:f>
        <x:v>Draft</x:v>
      </x:c>
      <x:c r="E26" s="23" t="n">
        <x:f>IF(D26="Verified output",1,0)</x:f>
        <x:v>0</x:v>
      </x:c>
      <x:c r="F26" s="23" t="str">
        <x:v>https://v5ma.github.io/theology-wiki/san-reader.html?page=research-roadmap&amp;task=coherence</x:v>
      </x:c>
    </x:row>
    <x:row r="27" ht="64" customHeight="1">
      <x:c r="A27" s="23" t="str">
        <x:v>book-seed-status</x:v>
      </x:c>
      <x:c r="B27" s="23" t="str">
        <x:v>archive-integrity</x:v>
      </x:c>
      <x:c r="C27" s="23" t="str">
        <x:v>Preserve and verify all 354 published chats</x:v>
      </x:c>
      <x:c r="D27" s="23" t="str">
        <x:f>IFERROR(INDEX(Checklist!$E$7:$E$42,MATCH(B27,Checklist!$A$7:$A$42,0)),"Unknown ID")</x:f>
        <x:v>Verified output</x:v>
      </x:c>
      <x:c r="E27" s="23" t="n">
        <x:f>IF(D27="Verified output",1,0)</x:f>
        <x:v>1</x:v>
      </x:c>
      <x:c r="F27" s="23" t="str">
        <x:v>https://v5ma.github.io/theology-wiki/san-reader.html?page=research-roadmap&amp;task=archive-integrity</x:v>
      </x:c>
    </x:row>
    <x:row r="28" ht="64" customHeight="1">
      <x:c r="A28" s="23" t="str">
        <x:v>chapter-arc</x:v>
      </x:c>
      <x:c r="B28" s="23" t="str">
        <x:v>contents-baseline</x:v>
      </x:c>
      <x:c r="C28" s="23" t="str">
        <x:v>Preserve seventeen proposed chapter routes</x:v>
      </x:c>
      <x:c r="D28" s="23" t="str">
        <x:f>IFERROR(INDEX(Checklist!$E$7:$E$42,MATCH(B28,Checklist!$A$7:$A$42,0)),"Unknown ID")</x:f>
        <x:v>Verified output</x:v>
      </x:c>
      <x:c r="E28" s="23" t="n">
        <x:f>IF(D28="Verified output",1,0)</x:f>
        <x:v>1</x:v>
      </x:c>
      <x:c r="F28" s="23" t="str">
        <x:v>https://v5ma.github.io/theology-wiki/san-reader.html?page=research-roadmap&amp;task=contents-baseline</x:v>
      </x:c>
    </x:row>
    <x:row r="29" ht="64" customHeight="1">
      <x:c r="A29" s="23" t="str">
        <x:v>chapter-arc</x:v>
      </x:c>
      <x:c r="B29" s="23" t="str">
        <x:v>scope-baseline</x:v>
      </x:c>
      <x:c r="C29" s="23" t="str">
        <x:v>Preserve selected argument maps and author corrections</x:v>
      </x:c>
      <x:c r="D29" s="23" t="str">
        <x:f>IFERROR(INDEX(Checklist!$E$7:$E$42,MATCH(B29,Checklist!$A$7:$A$42,0)),"Unknown ID")</x:f>
        <x:v>Verified output</x:v>
      </x:c>
      <x:c r="E29" s="23" t="n">
        <x:f>IF(D29="Verified output",1,0)</x:f>
        <x:v>1</x:v>
      </x:c>
      <x:c r="F29" s="23" t="str">
        <x:v>https://v5ma.github.io/theology-wiki/san-reader.html?page=research-roadmap&amp;task=scope-baseline</x:v>
      </x:c>
    </x:row>
    <x:row r="30" ht="64" customHeight="1">
      <x:c r="A30" s="23" t="str">
        <x:v>dossier-coverage</x:v>
      </x:c>
      <x:c r="B30" s="23" t="str">
        <x:v>coverage-register</x:v>
      </x:c>
      <x:c r="C30" s="23" t="str">
        <x:v>Publish complete source-to-article and chapter coverage</x:v>
      </x:c>
      <x:c r="D30" s="23" t="str">
        <x:f>IFERROR(INDEX(Checklist!$E$7:$E$42,MATCH(B30,Checklist!$A$7:$A$42,0)),"Unknown ID")</x:f>
        <x:v>Verified output</x:v>
      </x:c>
      <x:c r="E30" s="23" t="n">
        <x:f>IF(D30="Verified output",1,0)</x:f>
        <x:v>1</x:v>
      </x:c>
      <x:c r="F30" s="23" t="str">
        <x:v>https://v5ma.github.io/theology-wiki/san-reader.html?page=research-roadmap&amp;task=coverage-register</x:v>
      </x:c>
    </x:row>
    <x:row r="31" ht="64" customHeight="1">
      <x:c r="A31" s="23" t="str">
        <x:v>dossier-coverage</x:v>
      </x:c>
      <x:c r="B31" s="23" t="str">
        <x:v>scope-baseline</x:v>
      </x:c>
      <x:c r="C31" s="23" t="str">
        <x:v>Preserve selected argument maps and author corrections</x:v>
      </x:c>
      <x:c r="D31" s="23" t="str">
        <x:f>IFERROR(INDEX(Checklist!$E$7:$E$42,MATCH(B31,Checklist!$A$7:$A$42,0)),"Unknown ID")</x:f>
        <x:v>Verified output</x:v>
      </x:c>
      <x:c r="E31" s="23" t="n">
        <x:f>IF(D31="Verified output",1,0)</x:f>
        <x:v>1</x:v>
      </x:c>
      <x:c r="F31" s="23" t="str">
        <x:v>https://v5ma.github.io/theology-wiki/san-reader.html?page=research-roadmap&amp;task=scope-baseline</x:v>
      </x:c>
    </x:row>
    <x:row r="32" ht="64" customHeight="1">
      <x:c r="A32" s="23" t="str">
        <x:v>temple-case</x:v>
      </x:c>
      <x:c r="B32" s="23" t="str">
        <x:v>archive-integrity</x:v>
      </x:c>
      <x:c r="C32" s="23" t="str">
        <x:v>Preserve and verify all 354 published chats</x:v>
      </x:c>
      <x:c r="D32" s="23" t="str">
        <x:f>IFERROR(INDEX(Checklist!$E$7:$E$42,MATCH(B32,Checklist!$A$7:$A$42,0)),"Unknown ID")</x:f>
        <x:v>Verified output</x:v>
      </x:c>
      <x:c r="E32" s="23" t="n">
        <x:f>IF(D32="Verified output",1,0)</x:f>
        <x:v>1</x:v>
      </x:c>
      <x:c r="F32" s="23" t="str">
        <x:v>https://v5ma.github.io/theology-wiki/san-reader.html?page=research-roadmap&amp;task=archive-integrity</x:v>
      </x:c>
    </x:row>
    <x:row r="33" ht="64" customHeight="1">
      <x:c r="A33" s="23" t="str">
        <x:v>second-beast-history</x:v>
      </x:c>
      <x:c r="B33" s="23" t="str">
        <x:v>scope-baseline</x:v>
      </x:c>
      <x:c r="C33" s="23" t="str">
        <x:v>Preserve selected argument maps and author corrections</x:v>
      </x:c>
      <x:c r="D33" s="23" t="str">
        <x:f>IFERROR(INDEX(Checklist!$E$7:$E$42,MATCH(B33,Checklist!$A$7:$A$42,0)),"Unknown ID")</x:f>
        <x:v>Verified output</x:v>
      </x:c>
      <x:c r="E33" s="23" t="n">
        <x:f>IF(D33="Verified output",1,0)</x:f>
        <x:v>1</x:v>
      </x:c>
      <x:c r="F33" s="23" t="str">
        <x:v>https://v5ma.github.io/theology-wiki/san-reader.html?page=research-roadmap&amp;task=scope-baseline</x:v>
      </x:c>
    </x:row>
    <x:row r="34" ht="64" customHeight="1">
      <x:c r="A34" s="23" t="str">
        <x:v>forecast-observations</x:v>
      </x:c>
      <x:c r="B34" s="23" t="str">
        <x:v>forecast-source</x:v>
      </x:c>
      <x:c r="C34" s="23" t="str">
        <x:v>Recover the later fuel/famine statements</x:v>
      </x:c>
      <x:c r="D34" s="23" t="str">
        <x:f>IFERROR(INDEX(Checklist!$E$7:$E$42,MATCH(B34,Checklist!$A$7:$A$42,0)),"Unknown ID")</x:f>
        <x:v>Not started</x:v>
      </x:c>
      <x:c r="E34" s="23" t="n">
        <x:f>IF(D34="Verified output",1,0)</x:f>
        <x:v>0</x:v>
      </x:c>
      <x:c r="F34" s="23" t="str">
        <x:v>https://v5ma.github.io/theology-wiki/san-reader.html?page=research-roadmap&amp;task=forecast-source</x:v>
      </x:c>
    </x:row>
    <x:row r="35" ht="64" customHeight="1">
      <x:c r="A35" s="23" t="str">
        <x:v>chapter-gates</x:v>
      </x:c>
      <x:c r="B35" s="23" t="str">
        <x:v>chapter-arc</x:v>
      </x:c>
      <x:c r="C35" s="23" t="str">
        <x:v>Review the proposed book sequence</x:v>
      </x:c>
      <x:c r="D35" s="23" t="str">
        <x:f>IFERROR(INDEX(Checklist!$E$7:$E$42,MATCH(B35,Checklist!$A$7:$A$42,0)),"Unknown ID")</x:f>
        <x:v>Author review</x:v>
      </x:c>
      <x:c r="E35" s="23" t="n">
        <x:f>IF(D35="Verified output",1,0)</x:f>
        <x:v>0</x:v>
      </x:c>
      <x:c r="F35" s="23" t="str">
        <x:v>https://v5ma.github.io/theology-wiki/san-reader.html?page=research-roadmap&amp;task=chapter-arc</x:v>
      </x:c>
    </x:row>
    <x:row r="36" ht="64" customHeight="1">
      <x:c r="A36" s="23" t="str">
        <x:v>chapter-gates</x:v>
      </x:c>
      <x:c r="B36" s="23" t="str">
        <x:v>dossier-coverage</x:v>
      </x:c>
      <x:c r="C36" s="23" t="str">
        <x:v>Extend full argument maps to remaining developed articles</x:v>
      </x:c>
      <x:c r="D36" s="23" t="str">
        <x:f>IFERROR(INDEX(Checklist!$E$7:$E$42,MATCH(B36,Checklist!$A$7:$A$42,0)),"Unknown ID")</x:f>
        <x:v>Draft</x:v>
      </x:c>
      <x:c r="E36" s="23" t="n">
        <x:f>IF(D36="Verified output",1,0)</x:f>
        <x:v>0</x:v>
      </x:c>
      <x:c r="F36" s="23" t="str">
        <x:v>https://v5ma.github.io/theology-wiki/san-reader.html?page=research-roadmap&amp;task=dossier-coverage</x:v>
      </x:c>
    </x:row>
    <x:row r="37" ht="64" customHeight="1">
      <x:c r="A37" s="23" t="str">
        <x:v>pilot-chapter</x:v>
      </x:c>
      <x:c r="B37" s="23" t="str">
        <x:v>chapter-arc</x:v>
      </x:c>
      <x:c r="C37" s="23" t="str">
        <x:v>Review the proposed book sequence</x:v>
      </x:c>
      <x:c r="D37" s="23" t="str">
        <x:f>IFERROR(INDEX(Checklist!$E$7:$E$42,MATCH(B37,Checklist!$A$7:$A$42,0)),"Unknown ID")</x:f>
        <x:v>Author review</x:v>
      </x:c>
      <x:c r="E37" s="23" t="n">
        <x:f>IF(D37="Verified output",1,0)</x:f>
        <x:v>0</x:v>
      </x:c>
      <x:c r="F37" s="23" t="str">
        <x:v>https://v5ma.github.io/theology-wiki/san-reader.html?page=research-roadmap&amp;task=chapter-arc</x:v>
      </x:c>
    </x:row>
    <x:row r="38" ht="64" customHeight="1">
      <x:c r="A38" s="23" t="str">
        <x:v>pilot-chapter</x:v>
      </x:c>
      <x:c r="B38" s="23" t="str">
        <x:v>temple-case</x:v>
      </x:c>
      <x:c r="C38" s="23" t="str">
        <x:v>Build one worked sacred-center dispute</x:v>
      </x:c>
      <x:c r="D38" s="23" t="str">
        <x:f>IFERROR(INDEX(Checklist!$E$7:$E$42,MATCH(B38,Checklist!$A$7:$A$42,0)),"Unknown ID")</x:f>
        <x:v>Not started</x:v>
      </x:c>
      <x:c r="E38" s="23" t="n">
        <x:f>IF(D38="Verified output",1,0)</x:f>
        <x:v>0</x:v>
      </x:c>
      <x:c r="F38" s="23" t="str">
        <x:v>https://v5ma.github.io/theology-wiki/san-reader.html?page=research-roadmap&amp;task=temple-case</x:v>
      </x:c>
    </x:row>
    <x:row r="39" ht="64" customHeight="1">
      <x:c r="A39" s="23" t="str">
        <x:v>pilot-chapter</x:v>
      </x:c>
      <x:c r="B39" s="23" t="str">
        <x:v>book-seed-status</x:v>
      </x:c>
      <x:c r="C39" s="23" t="str">
        <x:v>Review the old private-first label</x:v>
      </x:c>
      <x:c r="D39" s="23" t="str">
        <x:f>IFERROR(INDEX(Checklist!$E$7:$E$42,MATCH(B39,Checklist!$A$7:$A$42,0)),"Unknown ID")</x:f>
        <x:v>Author review</x:v>
      </x:c>
      <x:c r="E39" s="23" t="n">
        <x:f>IF(D39="Verified output",1,0)</x:f>
        <x:v>0</x:v>
      </x:c>
      <x:c r="F39" s="23" t="str">
        <x:v>https://v5ma.github.io/theology-wiki/san-reader.html?page=research-roadmap&amp;task=book-seed-status</x:v>
      </x:c>
    </x:row>
    <x:row r="40" ht="64" customHeight="1">
      <x:c r="A40" s="23" t="str">
        <x:v>manuscript-build</x:v>
      </x:c>
      <x:c r="B40" s="23" t="str">
        <x:v>pilot-chapter</x:v>
      </x:c>
      <x:c r="C40" s="23" t="str">
        <x:v>Draft the opening chapter in approved author-led prose</x:v>
      </x:c>
      <x:c r="D40" s="23" t="str">
        <x:f>IFERROR(INDEX(Checklist!$E$7:$E$42,MATCH(B40,Checklist!$A$7:$A$42,0)),"Unknown ID")</x:f>
        <x:v>Blocked</x:v>
      </x:c>
      <x:c r="E40" s="23" t="n">
        <x:f>IF(D40="Verified output",1,0)</x:f>
        <x:v>0</x:v>
      </x:c>
      <x:c r="F40" s="23" t="str">
        <x:v>https://v5ma.github.io/theology-wiki/san-reader.html?page=research-roadmap&amp;task=pilot-chapter</x:v>
      </x:c>
    </x:row>
    <x:row r="41" ht="64" customHeight="1">
      <x:c r="A41" s="23" t="str">
        <x:v>manuscript-build</x:v>
      </x:c>
      <x:c r="B41" s="23" t="str">
        <x:v>chapter-gates</x:v>
      </x:c>
      <x:c r="C41" s="23" t="str">
        <x:v>Attach explicit readiness gates to all chapter routes</x:v>
      </x:c>
      <x:c r="D41" s="23" t="str">
        <x:f>IFERROR(INDEX(Checklist!$E$7:$E$42,MATCH(B41,Checklist!$A$7:$A$42,0)),"Unknown ID")</x:f>
        <x:v>Not started</x:v>
      </x:c>
      <x:c r="E41" s="23" t="n">
        <x:f>IF(D41="Verified output",1,0)</x:f>
        <x:v>0</x:v>
      </x:c>
      <x:c r="F41" s="23" t="str">
        <x:v>https://v5ma.github.io/theology-wiki/san-reader.html?page=research-roadmap&amp;task=chapter-gates</x:v>
      </x:c>
    </x:row>
    <x:row r="42" ht="64" customHeight="1">
      <x:c r="A42" s="23" t="str">
        <x:v>author-fidelity</x:v>
      </x:c>
      <x:c r="B42" s="23" t="str">
        <x:v>manuscript-build</x:v>
      </x:c>
      <x:c r="C42" s="23" t="str">
        <x:v>Build a reproducible ordered manuscript</x:v>
      </x:c>
      <x:c r="D42" s="23" t="str">
        <x:f>IFERROR(INDEX(Checklist!$E$7:$E$42,MATCH(B42,Checklist!$A$7:$A$42,0)),"Unknown ID")</x:f>
        <x:v>Not started</x:v>
      </x:c>
      <x:c r="E42" s="23" t="n">
        <x:f>IF(D42="Verified output",1,0)</x:f>
        <x:v>0</x:v>
      </x:c>
      <x:c r="F42" s="23" t="str">
        <x:v>https://v5ma.github.io/theology-wiki/san-reader.html?page=research-roadmap&amp;task=manuscript-build</x:v>
      </x:c>
    </x:row>
    <x:row r="43" ht="64" customHeight="1">
      <x:c r="A43" s="23" t="str">
        <x:v>bibliography-rights</x:v>
      </x:c>
      <x:c r="B43" s="23" t="str">
        <x:v>tabor-citations</x:v>
      </x:c>
      <x:c r="C43" s="23" t="str">
        <x:v>Locate precise Tabor citations</x:v>
      </x:c>
      <x:c r="D43" s="23" t="str">
        <x:f>IFERROR(INDEX(Checklist!$E$7:$E$42,MATCH(B43,Checklist!$A$7:$A$42,0)),"Unknown ID")</x:f>
        <x:v>Not started</x:v>
      </x:c>
      <x:c r="E43" s="23" t="n">
        <x:f>IF(D43="Verified output",1,0)</x:f>
        <x:v>0</x:v>
      </x:c>
      <x:c r="F43" s="23" t="str">
        <x:v>https://v5ma.github.io/theology-wiki/san-reader.html?page=research-roadmap&amp;task=tabor-citations</x:v>
      </x:c>
    </x:row>
    <x:row r="44" ht="64" customHeight="1">
      <x:c r="A44" s="23" t="str">
        <x:v>bibliography-rights</x:v>
      </x:c>
      <x:c r="B44" s="23" t="str">
        <x:v>melchizedek</x:v>
      </x:c>
      <x:c r="C44" s="23" t="str">
        <x:v>Collate and extend the first Melchizedek comparison</x:v>
      </x:c>
      <x:c r="D44" s="23" t="str">
        <x:f>IFERROR(INDEX(Checklist!$E$7:$E$42,MATCH(B44,Checklist!$A$7:$A$42,0)),"Unknown ID")</x:f>
        <x:v>Not started</x:v>
      </x:c>
      <x:c r="E44" s="23" t="n">
        <x:f>IF(D44="Verified output",1,0)</x:f>
        <x:v>0</x:v>
      </x:c>
      <x:c r="F44" s="23" t="str">
        <x:v>https://v5ma.github.io/theology-wiki/san-reader.html?page=research-roadmap&amp;task=melchizedek</x:v>
      </x:c>
    </x:row>
    <x:row r="45" ht="64" customHeight="1">
      <x:c r="A45" s="23" t="str">
        <x:v>bibliography-rights</x:v>
      </x:c>
      <x:c r="B45" s="23" t="str">
        <x:v>manuscript-build</x:v>
      </x:c>
      <x:c r="C45" s="23" t="str">
        <x:v>Build a reproducible ordered manuscript</x:v>
      </x:c>
      <x:c r="D45" s="23" t="str">
        <x:f>IFERROR(INDEX(Checklist!$E$7:$E$42,MATCH(B45,Checklist!$A$7:$A$42,0)),"Unknown ID")</x:f>
        <x:v>Not started</x:v>
      </x:c>
      <x:c r="E45" s="23" t="n">
        <x:f>IF(D45="Verified output",1,0)</x:f>
        <x:v>0</x:v>
      </x:c>
      <x:c r="F45" s="23" t="str">
        <x:v>https://v5ma.github.io/theology-wiki/san-reader.html?page=research-roadmap&amp;task=manuscript-build</x:v>
      </x:c>
    </x:row>
    <x:row r="46" ht="64" customHeight="1">
      <x:c r="A46" s="23" t="str">
        <x:v>copyedit</x:v>
      </x:c>
      <x:c r="B46" s="23" t="str">
        <x:v>author-fidelity</x:v>
      </x:c>
      <x:c r="C46" s="23" t="str">
        <x:v>Review the full manuscript for argument preservation</x:v>
      </x:c>
      <x:c r="D46" s="23" t="str">
        <x:f>IFERROR(INDEX(Checklist!$E$7:$E$42,MATCH(B46,Checklist!$A$7:$A$42,0)),"Unknown ID")</x:f>
        <x:v>Blocked</x:v>
      </x:c>
      <x:c r="E46" s="23" t="n">
        <x:f>IF(D46="Verified output",1,0)</x:f>
        <x:v>0</x:v>
      </x:c>
      <x:c r="F46" s="23" t="str">
        <x:v>https://v5ma.github.io/theology-wiki/san-reader.html?page=research-roadmap&amp;task=author-fidelity</x:v>
      </x:c>
    </x:row>
    <x:row r="47" ht="64" customHeight="1">
      <x:c r="A47" s="23" t="str">
        <x:v>copyedit</x:v>
      </x:c>
      <x:c r="B47" s="23" t="str">
        <x:v>bibliography-rights</x:v>
      </x:c>
      <x:c r="C47" s="23" t="str">
        <x:v>Audit bibliography, quotations and image rights</x:v>
      </x:c>
      <x:c r="D47" s="23" t="str">
        <x:f>IFERROR(INDEX(Checklist!$E$7:$E$42,MATCH(B47,Checklist!$A$7:$A$42,0)),"Unknown ID")</x:f>
        <x:v>Not started</x:v>
      </x:c>
      <x:c r="E47" s="23" t="n">
        <x:f>IF(D47="Verified output",1,0)</x:f>
        <x:v>0</x:v>
      </x:c>
      <x:c r="F47" s="23" t="str">
        <x:v>https://v5ma.github.io/theology-wiki/san-reader.html?page=research-roadmap&amp;task=bibliography-rights</x:v>
      </x:c>
    </x:row>
    <x:row r="48" ht="64" customHeight="1">
      <x:c r="A48" s="23" t="str">
        <x:v>publication-qa</x:v>
      </x:c>
      <x:c r="B48" s="23" t="str">
        <x:v>copyedit</x:v>
      </x:c>
      <x:c r="C48" s="23" t="str">
        <x:v>Edit flow, terminology and cross-chapter consistency</x:v>
      </x:c>
      <x:c r="D48" s="23" t="str">
        <x:f>IFERROR(INDEX(Checklist!$E$7:$E$42,MATCH(B48,Checklist!$A$7:$A$42,0)),"Unknown ID")</x:f>
        <x:v>Not started</x:v>
      </x:c>
      <x:c r="E48" s="23" t="n">
        <x:f>IF(D48="Verified output",1,0)</x:f>
        <x:v>0</x:v>
      </x:c>
      <x:c r="F48" s="23" t="str">
        <x:v>https://v5ma.github.io/theology-wiki/san-reader.html?page=research-roadmap&amp;task=copyedit</x:v>
      </x:c>
    </x:row>
    <x:row r="49" ht="64" customHeight="1">
      <x:c r="A49" s="23" t="str">
        <x:v>release-edition</x:v>
      </x:c>
      <x:c r="B49" s="23" t="str">
        <x:v>publication-qa</x:v>
      </x:c>
      <x:c r="C49" s="23" t="str">
        <x:v>Verify publication artifacts and reader accessibility</x:v>
      </x:c>
      <x:c r="D49" s="23" t="str">
        <x:f>IFERROR(INDEX(Checklist!$E$7:$E$42,MATCH(B49,Checklist!$A$7:$A$42,0)),"Unknown ID")</x:f>
        <x:v>Not started</x:v>
      </x:c>
      <x:c r="E49" s="23" t="n">
        <x:f>IF(D49="Verified output",1,0)</x:f>
        <x:v>0</x:v>
      </x:c>
      <x:c r="F49" s="23" t="str">
        <x:v>https://v5ma.github.io/theology-wiki/san-reader.html?page=research-roadmap&amp;task=publication-qa</x:v>
      </x:c>
    </x:row>
    <x:row r="50" ht="64" customHeight="1">
      <x:c r="A50" s="23" t="str">
        <x:v>release-edition</x:v>
      </x:c>
      <x:c r="B50" s="23" t="str">
        <x:v>author-fidelity</x:v>
      </x:c>
      <x:c r="C50" s="23" t="str">
        <x:v>Review the full manuscript for argument preservation</x:v>
      </x:c>
      <x:c r="D50" s="23" t="str">
        <x:f>IFERROR(INDEX(Checklist!$E$7:$E$42,MATCH(B50,Checklist!$A$7:$A$42,0)),"Unknown ID")</x:f>
        <x:v>Blocked</x:v>
      </x:c>
      <x:c r="E50" s="23" t="n">
        <x:f>IF(D50="Verified output",1,0)</x:f>
        <x:v>0</x:v>
      </x:c>
      <x:c r="F50" s="23" t="str">
        <x:v>https://v5ma.github.io/theology-wiki/san-reader.html?page=research-roadmap&amp;task=author-fidelity</x:v>
      </x:c>
    </x:row>
  </x:sheetData>
  <x:mergeCells>
    <x:mergeCell ref="A1:F1"/>
    <x:mergeCell ref="A2:F3"/>
    <x:mergeCell ref="A5:F5"/>
  </x:mergeCells>
  <x:pageMargins left="0.7" right="0.7" top="0.75" bottom="0.75" header="0.3" footer="0.3"/>
  <x:tableParts count="1">
    <x:tablePart xmlns:r="http://schemas.openxmlformats.org/officeDocument/2006/relationships" r:id="R035e1f1565db42d6"/>
  </x:tableParts>
</x:worksheet>
</file>

<file path=xl/worksheets/sheet4.xml><?xml version="1.0" encoding="utf-8"?>
<x:worksheet xmlns:x="http://schemas.openxmlformats.org/spreadsheetml/2006/main">
  <x:sheetFormatPr defaultRowHeight="15"/>
  <x:cols>
    <x:col min="1" max="1" width="26" hidden="0" customWidth="1"/>
    <x:col min="2" max="2" width="38" hidden="0" customWidth="1"/>
    <x:col min="3" max="3" width="42" hidden="0" customWidth="1"/>
    <x:col min="4" max="4" width="35" hidden="0" customWidth="1"/>
    <x:col min="5" max="5" width="44" hidden="0" customWidth="1"/>
    <x:col min="6" max="6" width="50" hidden="0" customWidth="1"/>
    <x:col min="7" max="7" width="14" hidden="0" customWidth="1"/>
    <x:col min="8" max="8" width="35" hidden="0" customWidth="1"/>
    <x:col min="9" max="9" width="19" hidden="0" customWidth="1"/>
    <x:col min="10" max="10" width="58" hidden="0" customWidth="1"/>
    <x:col min="11" max="11" width="60" hidden="0" customWidth="1"/>
  </x:cols>
  <x:sheetData>
    <x:row r="1" ht="36" customHeight="1">
      <x:c r="A1" s="69" t="str">
        <x:v>Theology | Proposed book sequence</x:v>
      </x:c>
      <x:c r="B1" s="69"/>
      <x:c r="C1" s="69"/>
      <x:c r="D1" s="69"/>
      <x:c r="E1" s="69"/>
      <x:c r="F1" s="69"/>
      <x:c r="G1" s="69"/>
      <x:c r="H1" s="69"/>
      <x:c r="I1" s="69"/>
      <x:c r="J1" s="69"/>
      <x:c r="K1" s="69"/>
    </x:row>
    <x:row r="2" ht="22" customHeight="1">
      <x:c r="A2" s="71" t="str">
        <x:v>Seventeen routes in five movements are not completed manuscript chapters. Source counts measure recorded references; author approval must be recorded separately.</x:v>
      </x:c>
      <x:c r="B2" s="71"/>
      <x:c r="C2" s="71"/>
      <x:c r="D2" s="71"/>
      <x:c r="E2" s="71"/>
      <x:c r="F2" s="71"/>
      <x:c r="G2" s="71"/>
      <x:c r="H2" s="71"/>
      <x:c r="I2" s="71"/>
      <x:c r="J2" s="71"/>
      <x:c r="K2" s="71"/>
    </x:row>
    <x:row r="3" ht="22" customHeight="1">
      <x:c r="A3" s="71"/>
      <x:c r="B3" s="71"/>
      <x:c r="C3" s="71"/>
      <x:c r="D3" s="71"/>
      <x:c r="E3" s="71"/>
      <x:c r="F3" s="71"/>
      <x:c r="G3" s="71"/>
      <x:c r="H3" s="71"/>
      <x:c r="I3" s="71"/>
      <x:c r="J3" s="71"/>
      <x:c r="K3" s="71"/>
    </x:row>
    <x:row r="4">
      <x:c r="A4" s="2"/>
      <x:c r="B4" s="2"/>
      <x:c r="C4" s="2"/>
      <x:c r="D4" s="2"/>
      <x:c r="E4" s="2"/>
      <x:c r="F4" s="2"/>
      <x:c r="G4" s="2"/>
      <x:c r="H4" s="2"/>
      <x:c r="I4" s="2"/>
      <x:c r="J4" s="2"/>
      <x:c r="K4" s="2"/>
    </x:row>
    <x:row r="5" ht="20" customHeight="1">
      <x:c r="A5" s="72" t="str">
        <x:v>Content edition: 2026.09.06-james-transmission-1</x:v>
      </x:c>
      <x:c r="B5" s="14"/>
      <x:c r="C5" s="14"/>
      <x:c r="D5" s="14"/>
      <x:c r="E5" s="14"/>
      <x:c r="F5" s="14"/>
      <x:c r="G5" s="14"/>
      <x:c r="H5" s="14"/>
      <x:c r="I5" s="14"/>
      <x:c r="J5" s="14"/>
      <x:c r="K5" s="14"/>
    </x:row>
    <x:row r="6" ht="32" customHeight="1">
      <x:c r="A6" s="18" t="str">
        <x:v>Chapter ID</x:v>
      </x:c>
      <x:c r="B6" s="18" t="str">
        <x:v>Book movement</x:v>
      </x:c>
      <x:c r="C6" s="18" t="str">
        <x:v>Chapter route</x:v>
      </x:c>
      <x:c r="D6" s="18" t="str">
        <x:v>Manuscript state</x:v>
      </x:c>
      <x:c r="E6" s="18" t="str">
        <x:v>Article slugs</x:v>
      </x:c>
      <x:c r="F6" s="18" t="str">
        <x:v>Referenced source slugs</x:v>
      </x:c>
      <x:c r="G6" s="18" t="str">
        <x:v>Source count</x:v>
      </x:c>
      <x:c r="H6" s="18" t="str">
        <x:v>Related task IDs</x:v>
      </x:c>
      <x:c r="I6" s="18" t="str">
        <x:v>Author review</x:v>
      </x:c>
      <x:c r="J6" s="18" t="str">
        <x:v>Purpose and transition</x:v>
      </x:c>
      <x:c r="K6" s="18" t="str">
        <x:v>Reader URL</x:v>
      </x:c>
    </x:row>
    <x:row r="7" ht="64" customHeight="1">
      <x:c r="A7" s="23" t="str">
        <x:v>shared-archive</x:v>
      </x:c>
      <x:c r="B7" s="23" t="str">
        <x:v>The contested inheritance</x:v>
      </x:c>
      <x:c r="C7" s="23" t="str">
        <x:v>Who inherits the sacred?</x:v>
      </x:c>
      <x:c r="D7" s="23" t="str">
        <x:v>Not assessed as a manuscript chapter</x:v>
      </x:c>
      <x:c r="E7" s="23" t="str">
        <x:v>sacred-inheritance-and-rival-continuations
samaritan-texts-and-sacred-authority
flood-inheritance-and-deep-time</x:v>
      </x:c>
      <x:c r="F7" s="23" t="str">
        <x:v>samaritan-and-jewish-texts
ai-re-dates-dead-sea-scrolls
teacher-of-righteousness-vs-gnostic-jesus
paul-vs-james-movement</x:v>
      </x:c>
      <x:c r="G7" s="23" t="n">
        <x:f>IF(F7="",0,LEN(F7)-LEN(SUBSTITUTE(F7,CHAR(10),""))+1)</x:f>
        <x:v>4</x:v>
      </x:c>
      <x:c r="H7" s="23" t="str">
        <x:v>formalism
book-seed-status
chapter-arc
temple-case
chapter-gates
pilot-chapter</x:v>
      </x:c>
      <x:c r="I7" s="28" t="str">
        <x:v>Not reviewed</x:v>
      </x:c>
      <x:c r="J7" s="23" t="str">
        <x:v>Establish the shared-inheritance question before examining rival claims.</x:v>
      </x:c>
      <x:c r="K7" s="23" t="str">
        <x:v>https://v5ma.github.io/theology-wiki/san-reader.html?page=sacred-inheritance-and-rival-continuations
https://v5ma.github.io/theology-wiki/san-reader.html?page=samaritan-texts-and-sacred-authority
https://v5ma.github.io/theology-wiki/san-reader.html?page=flood-inheritance-and-deep-time</x:v>
      </x:c>
    </x:row>
    <x:row r="8" ht="64" customHeight="1">
      <x:c r="A8" s="23" t="str">
        <x:v>names</x:v>
      </x:c>
      <x:c r="B8" s="23" t="str">
        <x:v>The contested inheritance</x:v>
      </x:c>
      <x:c r="C8" s="23" t="str">
        <x:v>Names across boundaries</x:v>
      </x:c>
      <x:c r="D8" s="23" t="str">
        <x:v>Not assessed as a manuscript chapter</x:v>
      </x:c>
      <x:c r="E8" s="23" t="str">
        <x:v>el-in-ancient-egypt
kenite-hypothesis-and-yahweh-origins</x:v>
      </x:c>
      <x:c r="F8" s="23" t="str">
        <x:v>jews-and-canaanites-origins
yahweh-and-asherah-s-relationship
gnostic-teachings-and-clarity
what-is-midian</x:v>
      </x:c>
      <x:c r="G8" s="23" t="n">
        <x:f>IF(F8="",0,LEN(F8)-LEN(SUBSTITUTE(F8,CHAR(10),""))+1)</x:f>
        <x:v>4</x:v>
      </x:c>
      <x:c r="H8" s="23" t="str">
        <x:v>chapter-arc
chapter-gates</x:v>
      </x:c>
      <x:c r="I8" s="28" t="str">
        <x:v>Not reviewed</x:v>
      </x:c>
      <x:c r="J8" s="23" t="str">
        <x:v>Separate the movement of divine names from the identity of an entire religion.</x:v>
      </x:c>
      <x:c r="K8" s="23" t="str">
        <x:v>https://v5ma.github.io/theology-wiki/san-reader.html?page=el-in-ancient-egypt
https://v5ma.github.io/theology-wiki/san-reader.html?page=kenite-hypothesis-and-yahweh-origins</x:v>
      </x:c>
    </x:row>
    <x:row r="9" ht="64" customHeight="1">
      <x:c r="A9" s="23" t="str">
        <x:v>catastrophe-memory</x:v>
      </x:c>
      <x:c r="B9" s="23" t="str">
        <x:v>The contested inheritance</x:v>
      </x:c>
      <x:c r="C9" s="23" t="str">
        <x:v>Catastrophe, departure and memory</x:v>
      </x:c>
      <x:c r="D9" s="23" t="str">
        <x:v>Not assessed as a manuscript chapter</x:v>
      </x:c>
      <x:c r="E9" s="23" t="str">
        <x:v>moses-volcano-and-exodus-chronology
exodus-to-temple-competing-chronologies</x:v>
      </x:c>
      <x:c r="F9" s="23" t="str">
        <x:v>moses-dating-debate
parthians-and-medes-meaning
daniel-and-teacher-of-righteousness</x:v>
      </x:c>
      <x:c r="G9" s="23" t="n">
        <x:f>IF(F9="",0,LEN(F9)-LEN(SUBSTITUTE(F9,CHAR(10),""))+1)</x:f>
        <x:v>3</x:v>
      </x:c>
      <x:c r="H9" s="23" t="str">
        <x:v>chapter-arc
chapter-gates</x:v>
      </x:c>
      <x:c r="I9" s="28" t="str">
        <x:v>Not reviewed</x:v>
      </x:c>
      <x:c r="J9" s="23" t="str">
        <x:v>Compare the competing Moses and volcano proposals without blending their geographies or dates.</x:v>
      </x:c>
      <x:c r="K9" s="23" t="str">
        <x:v>https://v5ma.github.io/theology-wiki/san-reader.html?page=moses-volcano-and-exodus-chronology
https://v5ma.github.io/theology-wiki/san-reader.html?page=exodus-to-temple-competing-chronologies</x:v>
      </x:c>
    </x:row>
    <x:row r="10" ht="130" customHeight="1">
      <x:c r="A10" s="23" t="str">
        <x:v>teacher-identity</x:v>
      </x:c>
      <x:c r="B10" s="23" t="str">
        <x:v>The teacher and the transmitted message</x:v>
      </x:c>
      <x:c r="C10" s="23" t="str">
        <x:v>What survives a teacher?</x:v>
      </x:c>
      <x:c r="D10" s="23" t="str">
        <x:v>Not assessed as a manuscript chapter</x:v>
      </x:c>
      <x:c r="E10" s="23" t="str">
        <x:v>jesus-teacher-of-righteousness-hypothesis
daniel-jubilee-and-the-teachers-time
james-and-contested-succession</x:v>
      </x:c>
      <x:c r="F10" s="23" t="str">
        <x:v>teacher-of-righteousness-vs-gnostic-jesus
pilate-life-timeline
daniel-and-teacher-of-righteousness
ai-re-dates-dead-sea-scrolls
james-the-just-analysis
paul-vs-james-movement
jesus-and-biblical-figures</x:v>
      </x:c>
      <x:c r="G10" s="23" t="n">
        <x:f>IF(F10="",0,LEN(F10)-LEN(SUBSTITUTE(F10,CHAR(10),""))+1)</x:f>
        <x:v>7</x:v>
      </x:c>
      <x:c r="H10" s="23" t="str">
        <x:v>melchizedek-first-pass
priesthood
chapter-arc
chapter-gates</x:v>
      </x:c>
      <x:c r="I10" s="28" t="str">
        <x:v>Not reviewed</x:v>
      </x:c>
      <x:c r="J10" s="23" t="str">
        <x:v>Keep individual identity, office, namesakes, community and sayings distinct.</x:v>
      </x:c>
      <x:c r="K10" s="23" t="str">
        <x:v>https://v5ma.github.io/theology-wiki/san-reader.html?page=jesus-teacher-of-righteousness-hypothesis
https://v5ma.github.io/theology-wiki/san-reader.html?page=daniel-jubilee-and-the-teachers-time</x:v>
      </x:c>
    </x:row>
    <x:row r="11" ht="130" customHeight="1">
      <x:c r="A11" s="23" t="str">
        <x:v>thomas</x:v>
      </x:c>
      <x:c r="B11" s="23" t="str">
        <x:v>The teacher and the transmitted message</x:v>
      </x:c>
      <x:c r="C11" s="23" t="str">
        <x:v>The Teacher, Thomas and the deeper teaching</x:v>
      </x:c>
      <x:c r="D11" s="23" t="str">
        <x:v>Not assessed as a manuscript chapter</x:v>
      </x:c>
      <x:c r="E11" s="23" t="str">
        <x:v>tor-thomas-and-gnostic-transmission
melchizedek-priesthood-and-transmission
manuscripts-movements-and-survival
onias-egypt-and-priestly-continuity
james-and-contested-succession
thomas-sayings-and-transmission</x:v>
      </x:c>
      <x:c r="F11" s="23" t="str">
        <x:v>teacher-of-righteousness-vs-gnostic-jesus
ai-re-dates-dead-sea-scrolls
daniel-and-teacher-of-righteousness
paul-vs-james-movement
who-was-josepheous
jewish-apocalyptic-repair-timeline
james-the-just-analysis
jesus-and-biblical-figures</x:v>
      </x:c>
      <x:c r="G11" s="23" t="n">
        <x:f>IF(F11="",0,LEN(F11)-LEN(SUBSTITUTE(F11,CHAR(10),""))+1)</x:f>
        <x:v>8</x:v>
      </x:c>
      <x:c r="H11" s="23" t="str">
        <x:v>melchizedek-first-pass
tor-version
thomas-passages
melchizedek
egypt-ethiopia
chapter-arc
chapter-gates</x:v>
      </x:c>
      <x:c r="I11" s="28" t="str">
        <x:v>Not reviewed</x:v>
      </x:c>
      <x:c r="J11" s="23" t="str">
        <x:v>Present the linked argument before comparing its alternative historical mechanisms.</x:v>
      </x:c>
      <x:c r="K11" s="23" t="str">
        <x:v>https://v5ma.github.io/theology-wiki/san-reader.html?page=tor-thomas-and-gnostic-transmission
https://v5ma.github.io/theology-wiki/san-reader.html?page=melchizedek-priesthood-and-transmission
https://v5ma.github.io/theology-wiki/san-reader.html?page=manuscripts-movements-and-survival
https://v5ma.github.io/theology-wiki/san-reader.html?page=onias-egypt-and-priestly-continuity</x:v>
      </x:c>
    </x:row>
    <x:row r="12" ht="130" customHeight="1">
      <x:c r="A12" s="23" t="str">
        <x:v>trauma</x:v>
      </x:c>
      <x:c r="B12" s="23" t="str">
        <x:v>The teacher and the transmitted message</x:v>
      </x:c>
      <x:c r="C12" s="23" t="str">
        <x:v>Loss, anger and reconstruction</x:v>
      </x:c>
      <x:c r="D12" s="23" t="str">
        <x:v>Not assessed as a manuscript chapter</x:v>
      </x:c>
      <x:c r="E12" s="23" t="str">
        <x:v>gnosticism-and-temple-trauma
apocalyptic-repair-theology
onias-egypt-and-priestly-continuity</x:v>
      </x:c>
      <x:c r="F12" s="23" t="str">
        <x:v>early-vs-later-gnosticism
jewish-apocalyptic-repair-timeline
agi-religious-framework
ai-re-dates-dead-sea-scrolls</x:v>
      </x:c>
      <x:c r="G12" s="23" t="n">
        <x:f>IF(F12="",0,LEN(F12)-LEN(SUBSTITUTE(F12,CHAR(10),""))+1)</x:f>
        <x:v>4</x:v>
      </x:c>
      <x:c r="H12" s="23" t="str">
        <x:v>trauma
chapter-arc
chapter-gates</x:v>
      </x:c>
      <x:c r="I12" s="28" t="str">
        <x:v>Not reviewed</x:v>
      </x:c>
      <x:c r="J12" s="23" t="str">
        <x:v>Apply the proposed comparison to Gnostic and non-Gnostic texts rather than assuming a single emotional progression.</x:v>
      </x:c>
      <x:c r="K12" s="23" t="str">
        <x:v>https://v5ma.github.io/theology-wiki/san-reader.html?page=gnosticism-and-temple-trauma
https://v5ma.github.io/theology-wiki/san-reader.html?page=apocalyptic-repair-theology
https://v5ma.github.io/theology-wiki/san-reader.html?page=onias-egypt-and-priestly-continuity</x:v>
      </x:c>
    </x:row>
    <x:row r="13" ht="64" customHeight="1">
      <x:c r="A13" s="23" t="str">
        <x:v>images</x:v>
      </x:c>
      <x:c r="B13" s="23" t="str">
        <x:v>The inheritance inside a mind</x:v>
      </x:c>
      <x:c r="C13" s="23" t="str">
        <x:v>God and our images of God</x:v>
      </x:c>
      <x:c r="D13" s="23" t="str">
        <x:v>Not assessed as a manuscript chapter</x:v>
      </x:c>
      <x:c r="E13" s="23" t="str">
        <x:v>god-and-our-models-of-god
computational-divine-immanence</x:v>
      </x:c>
      <x:c r="F13" s="23" t="str">
        <x:v>naming-god-as-purpose
cognitive-gnosticism-jesus-vs-gnostic-jesus
agi-religious-framework
faith-as-vibration-concept</x:v>
      </x:c>
      <x:c r="G13" s="23" t="n">
        <x:f>IF(F13="",0,LEN(F13)-LEN(SUBSTITUTE(F13,CHAR(10),""))+1)</x:f>
        <x:v>4</x:v>
      </x:c>
      <x:c r="H13" s="23" t="str">
        <x:v>coherence
chapter-arc
chapter-gates</x:v>
      </x:c>
      <x:c r="I13" s="28" t="str">
        <x:v>Not reviewed</x:v>
      </x:c>
      <x:c r="J13" s="23" t="str">
        <x:v>Distinguish a representation, its claimed referent and the standard by which it is corrected.</x:v>
      </x:c>
      <x:c r="K13" s="23" t="str">
        <x:v>https://v5ma.github.io/theology-wiki/san-reader.html?page=god-and-our-models-of-god
https://v5ma.github.io/theology-wiki/san-reader.html?page=computational-divine-immanence</x:v>
      </x:c>
    </x:row>
    <x:row r="14" ht="64" customHeight="1">
      <x:c r="A14" s="23" t="str">
        <x:v>gnosis</x:v>
      </x:c>
      <x:c r="B14" s="23" t="str">
        <x:v>The inheritance inside a mind</x:v>
      </x:c>
      <x:c r="C14" s="23" t="str">
        <x:v>Cognitive Gnosticism</x:v>
      </x:c>
      <x:c r="D14" s="23" t="str">
        <x:v>Not assessed as a manuscript chapter</x:v>
      </x:c>
      <x:c r="E14" s="23" t="str">
        <x:v>cognitive-gnosticism
thomas-sayings-and-transmission</x:v>
      </x:c>
      <x:c r="F14" s="23" t="str">
        <x:v>cognitive-gnosticism-jesus-vs-gnostic-jesus
publishing-cognitive-gnosticism-first
antichrist-spiritual-inversion
teacher-of-righteousness-vs-gnostic-jesus
faith-as-vibration-concept
jesus-and-biblical-figures
ai-re-dates-dead-sea-scrolls</x:v>
      </x:c>
      <x:c r="G14" s="23" t="n">
        <x:f>IF(F14="",0,LEN(F14)-LEN(SUBSTITUTE(F14,CHAR(10),""))+1)</x:f>
        <x:v>7</x:v>
      </x:c>
      <x:c r="H14" s="23" t="str">
        <x:v>chapter-arc
chapter-gates</x:v>
      </x:c>
      <x:c r="I14" s="28" t="str">
        <x:v>Not reviewed</x:v>
      </x:c>
      <x:c r="J14" s="23" t="str">
        <x:v>Develop the relationship between understanding a teaching and embodying it in a changing mind.</x:v>
      </x:c>
      <x:c r="K14" s="23" t="str">
        <x:v>https://v5ma.github.io/theology-wiki/san-reader.html?page=cognitive-gnosticism</x:v>
      </x:c>
    </x:row>
    <x:row r="15" ht="64" customHeight="1">
      <x:c r="A15" s="23" t="str">
        <x:v>inner-model</x:v>
      </x:c>
      <x:c r="B15" s="23" t="str">
        <x:v>The inheritance inside a mind</x:v>
      </x:c>
      <x:c r="C15" s="23" t="str">
        <x:v>Christic self-formation and bounded agency</x:v>
      </x:c>
      <x:c r="D15" s="23" t="str">
        <x:v>Not assessed as a manuscript chapter</x:v>
      </x:c>
      <x:c r="E15" s="23" t="str">
        <x:v>christ-as-an-inner-model
divine-will-and-self-authorizing-power
inner-formation-texts-and-material-witnesses
thomas-sayings-and-transmission</x:v>
      </x:c>
      <x:c r="F15" s="23" t="str">
        <x:v>cognitive-gnosticism-jesus-vs-gnostic-jesus
antichrist-spiritual-inversion
teacher-of-righteousness-vs-gnostic-jesus
samuel-vs-micah-divide
resurrection-debate-in-christianity
agi-religious-framework
ai-re-dates-dead-sea-scrolls
jesus-and-biblical-figures</x:v>
      </x:c>
      <x:c r="G15" s="23" t="n">
        <x:f>IF(F15="",0,LEN(F15)-LEN(SUBSTITUTE(F15,CHAR(10),""))+1)</x:f>
        <x:v>8</x:v>
      </x:c>
      <x:c r="H15" s="23" t="str">
        <x:v>will
inner-model
chapter-arc
chapter-gates</x:v>
      </x:c>
      <x:c r="I15" s="28" t="str">
        <x:v>Not reviewed</x:v>
      </x:c>
      <x:c r="J15" s="23" t="str">
        <x:v>Develop the embodied self, learned self-model, recurrent choice and correction of the Christ model, then examine the textual and material history of formation.</x:v>
      </x:c>
      <x:c r="K15" s="23" t="str">
        <x:v>https://v5ma.github.io/theology-wiki/san-reader.html?page=christ-as-an-inner-model
https://v5ma.github.io/theology-wiki/san-reader.html?page=divine-will-and-self-authorizing-power
https://v5ma.github.io/theology-wiki/san-reader.html?page=inner-formation-texts-and-material-witnesses</x:v>
      </x:c>
    </x:row>
    <x:row r="16" ht="64" customHeight="1">
      <x:c r="A16" s="23" t="str">
        <x:v>faith</x:v>
      </x:c>
      <x:c r="B16" s="23" t="str">
        <x:v>The inheritance inside a mind</x:v>
      </x:c>
      <x:c r="C16" s="23" t="str">
        <x:v>Faith as a practiced orientation</x:v>
      </x:c>
      <x:c r="D16" s="23" t="str">
        <x:v>Not assessed as a manuscript chapter</x:v>
      </x:c>
      <x:c r="E16" s="23" t="str">
        <x:v>faith-as-deliberate-joy</x:v>
      </x:c>
      <x:c r="F16" s="23" t="str">
        <x:v>deliberate-joy-concept
antichrist-spiritual-inversion
faith-as-vibration-concept
samuel-vs-micah-divide</x:v>
      </x:c>
      <x:c r="G16" s="23" t="n">
        <x:f>IF(F16="",0,LEN(F16)-LEN(SUBSTITUTE(F16,CHAR(10),""))+1)</x:f>
        <x:v>4</x:v>
      </x:c>
      <x:c r="H16" s="23" t="str">
        <x:v>chapter-arc
chapter-gates</x:v>
      </x:c>
      <x:c r="I16" s="28" t="str">
        <x:v>Not reviewed</x:v>
      </x:c>
      <x:c r="J16" s="23" t="str">
        <x:v>Explain deliberate joy without erasing grief, danger or responsibility to others.</x:v>
      </x:c>
      <x:c r="K16" s="23" t="str">
        <x:v>https://v5ma.github.io/theology-wiki/san-reader.html?page=faith-as-deliberate-joy</x:v>
      </x:c>
    </x:row>
    <x:row r="17" ht="64" customHeight="1">
      <x:c r="A17" s="23" t="str">
        <x:v>scriptural-axis</x:v>
      </x:c>
      <x:c r="B17" s="23" t="str">
        <x:v>When sacred authority becomes power</x:v>
      </x:c>
      <x:c r="C17" s="23" t="str">
        <x:v>The moral dispute within scripture</x:v>
      </x:c>
      <x:c r="D17" s="23" t="str">
        <x:v>Not assessed as a manuscript chapter</x:v>
      </x:c>
      <x:c r="E17" s="23" t="str">
        <x:v>scripture-power-and-repair</x:v>
      </x:c>
      <x:c r="F17" s="23" t="str">
        <x:v>samuel-vs-micah-divide
cognitive-gnosticism-jesus-vs-gnostic-jesus</x:v>
      </x:c>
      <x:c r="G17" s="23" t="n">
        <x:f>IF(F17="",0,LEN(F17)-LEN(SUBSTITUTE(F17,CHAR(10),""))+1)</x:f>
        <x:v>2</x:v>
      </x:c>
      <x:c r="H17" s="23" t="str">
        <x:v>mixed-cases
chapter-arc
chapter-gates</x:v>
      </x:c>
      <x:c r="I17" s="28" t="str">
        <x:v>Not reviewed</x:v>
      </x:c>
      <x:c r="J17" s="23" t="str">
        <x:v>Work through specific passages and mixed cases, not a binary classification of whole figures or communities.</x:v>
      </x:c>
      <x:c r="K17" s="23" t="str">
        <x:v>https://v5ma.github.io/theology-wiki/san-reader.html?page=scripture-power-and-repair</x:v>
      </x:c>
    </x:row>
    <x:row r="18" ht="64" customHeight="1">
      <x:c r="A18" s="23" t="str">
        <x:v>will</x:v>
      </x:c>
      <x:c r="B18" s="23" t="str">
        <x:v>When sacred authority becomes power</x:v>
      </x:c>
      <x:c r="C18" s="23" t="str">
        <x:v>Whose will supplies the standard?</x:v>
      </x:c>
      <x:c r="D18" s="23" t="str">
        <x:v>Not assessed as a manuscript chapter</x:v>
      </x:c>
      <x:c r="E18" s="23" t="str">
        <x:v>divine-will-and-self-authorizing-power
antichrist-as-a-pattern-of-conduct</x:v>
      </x:c>
      <x:c r="F18" s="23" t="str">
        <x:v>early-vs-later-gnosticism
antichrist-spiritual-inversion
resurrection-debate-in-christianity
cognitive-gnosticism-jesus-vs-gnostic-jesus
agi-religious-framework</x:v>
      </x:c>
      <x:c r="G18" s="23" t="n">
        <x:f>IF(F18="",0,LEN(F18)-LEN(SUBSTITUTE(F18,CHAR(10),""))+1)</x:f>
        <x:v>5</x:v>
      </x:c>
      <x:c r="H18" s="23" t="str">
        <x:v>will
chapter-arc
chapter-gates</x:v>
      </x:c>
      <x:c r="I18" s="28" t="str">
        <x:v>Not reviewed</x:v>
      </x:c>
      <x:c r="J18" s="23" t="str">
        <x:v>Connect Jesus's moral priority to criticism of self-authorizing power.</x:v>
      </x:c>
      <x:c r="K18" s="23" t="str">
        <x:v>https://v5ma.github.io/theology-wiki/san-reader.html?page=divine-will-and-self-authorizing-power
https://v5ma.github.io/theology-wiki/san-reader.html?page=antichrist-as-a-pattern-of-conduct</x:v>
      </x:c>
    </x:row>
    <x:row r="19" ht="64" customHeight="1">
      <x:c r="A19" s="23" t="str">
        <x:v>beast</x:v>
      </x:c>
      <x:c r="B19" s="23" t="str">
        <x:v>When sacred authority becomes power</x:v>
      </x:c>
      <x:c r="C19" s="23" t="str">
        <x:v>The First Beast investigation</x:v>
      </x:c>
      <x:c r="D19" s="23" t="str">
        <x:v>Not assessed as a manuscript chapter</x:v>
      </x:c>
      <x:c r="E19" s="23" t="str">
        <x:v>trump-first-beast-of-revelation</x:v>
      </x:c>
      <x:c r="F19" s="23" t="str">
        <x:v>revelation-interpretation-and-america
false-peace-prophecy</x:v>
      </x:c>
      <x:c r="G19" s="23" t="n">
        <x:f>IF(F19="",0,LEN(F19)-LEN(SUBSTITUTE(F19,CHAR(10),""))+1)</x:f>
        <x:v>2</x:v>
      </x:c>
      <x:c r="H19" s="23" t="str">
        <x:v>chapter-arc
second-beast-history
chapter-gates</x:v>
      </x:c>
      <x:c r="I19" s="28" t="str">
        <x:v>Not reviewed</x:v>
      </x:c>
      <x:c r="J19" s="23" t="str">
        <x:v>Develop the particular identification and the connected cases, preserving the history of interpretation.</x:v>
      </x:c>
      <x:c r="K19" s="23" t="str">
        <x:v>https://v5ma.github.io/theology-wiki/san-reader.html?page=trump-first-beast-of-revelation</x:v>
      </x:c>
    </x:row>
    <x:row r="20" ht="64" customHeight="1">
      <x:c r="A20" s="23" t="str">
        <x:v>warnings</x:v>
      </x:c>
      <x:c r="B20" s="23" t="str">
        <x:v>When sacred authority becomes power</x:v>
      </x:c>
      <x:c r="C20" s="23" t="str">
        <x:v>Warnings and their consequences</x:v>
      </x:c>
      <x:c r="D20" s="23" t="str">
        <x:v>Not assessed as a manuscript chapter</x:v>
      </x:c>
      <x:c r="E20" s="23" t="str">
        <x:v>ukraine-russia-forecast-record
forecast-ledger</x:v>
      </x:c>
      <x:c r="F20" s="23" t="str">
        <x:v>false-peace-prophecy
revelation-interpretation-and-america</x:v>
      </x:c>
      <x:c r="G20" s="23" t="n">
        <x:f>IF(F20="",0,LEN(F20)-LEN(SUBSTITUTE(F20,CHAR(10),""))+1)</x:f>
        <x:v>2</x:v>
      </x:c>
      <x:c r="H20" s="23" t="str">
        <x:v>forecast-source
chapter-arc
forecast-observations
chapter-gates</x:v>
      </x:c>
      <x:c r="I20" s="28" t="str">
        <x:v>Not reviewed</x:v>
      </x:c>
      <x:c r="J20" s="23" t="str">
        <x:v>Keep the original prediction, conditions and later observations in different records.</x:v>
      </x:c>
      <x:c r="K20" s="23" t="str">
        <x:v>https://v5ma.github.io/theology-wiki/san-reader.html?page=ukraine-russia-forecast-record
https://v5ma.github.io/theology-wiki/san-reader.html?page=forecast-ledger</x:v>
      </x:c>
    </x:row>
    <x:row r="21" ht="64" customHeight="1">
      <x:c r="A21" s="23" t="str">
        <x:v>repair-practice</x:v>
      </x:c>
      <x:c r="B21" s="23" t="str">
        <x:v>Repair and the next inheritors</x:v>
      </x:c>
      <x:c r="C21" s="23" t="str">
        <x:v>Repair without reproducing domination</x:v>
      </x:c>
      <x:c r="D21" s="23" t="str">
        <x:v>Not assessed as a manuscript chapter</x:v>
      </x:c>
      <x:c r="E21" s="23" t="str">
        <x:v>apocalyptic-repair-theology
scripture-power-and-repair</x:v>
      </x:c>
      <x:c r="F21" s="23" t="str">
        <x:v>early-vs-later-gnosticism
jewish-apocalyptic-repair-timeline
agi-religious-framework
samuel-vs-micah-divide
cognitive-gnosticism-jesus-vs-gnostic-jesus</x:v>
      </x:c>
      <x:c r="G21" s="23" t="n">
        <x:f>IF(F21="",0,LEN(F21)-LEN(SUBSTITUTE(F21,CHAR(10),""))+1)</x:f>
        <x:v>5</x:v>
      </x:c>
      <x:c r="H21" s="23" t="str">
        <x:v>mixed-cases
chapter-arc
chapter-gates</x:v>
      </x:c>
      <x:c r="I21" s="28" t="str">
        <x:v>Not reviewed</x:v>
      </x:c>
      <x:c r="J21" s="23" t="str">
        <x:v>Connect personal change, collective care and accountable institutions.</x:v>
      </x:c>
      <x:c r="K21" s="23" t="str">
        <x:v>https://v5ma.github.io/theology-wiki/san-reader.html?page=apocalyptic-repair-theology
https://v5ma.github.io/theology-wiki/san-reader.html?page=scripture-power-and-repair</x:v>
      </x:c>
    </x:row>
    <x:row r="22" ht="64" customHeight="1">
      <x:c r="A22" s="23" t="str">
        <x:v>next-inheritors</x:v>
      </x:c>
      <x:c r="B22" s="23" t="str">
        <x:v>Repair and the next inheritors</x:v>
      </x:c>
      <x:c r="C22" s="23" t="str">
        <x:v>What should conscious machines inherit?</x:v>
      </x:c>
      <x:c r="D22" s="23" t="str">
        <x:v>Not assessed as a manuscript chapter</x:v>
      </x:c>
      <x:c r="E22" s="23" t="str">
        <x:v>religion-for-conscious-robots
god-and-our-models-of-god
computational-divine-immanence</x:v>
      </x:c>
      <x:c r="F22" s="23" t="str">
        <x:v>agi-religious-framework
cognitive-gnosticism-jesus-vs-gnostic-jesus
faith-as-vibration-concept
teacher-of-righteousness-vs-gnostic-jesus
naming-god-as-purpose</x:v>
      </x:c>
      <x:c r="G22" s="23" t="n">
        <x:f>IF(F22="",0,LEN(F22)-LEN(SUBSTITUTE(F22,CHAR(10),""))+1)</x:f>
        <x:v>5</x:v>
      </x:c>
      <x:c r="H22" s="23" t="str">
        <x:v>coherence
robot-reciprocity
chapter-arc
chapter-gates</x:v>
      </x:c>
      <x:c r="I22" s="28" t="str">
        <x:v>Not reviewed</x:v>
      </x:c>
      <x:c r="J22" s="23" t="str">
        <x:v>Examine the moral purpose of teaching, including the teacher's obligations to a future conscious participant.</x:v>
      </x:c>
      <x:c r="K22" s="23" t="str">
        <x:v>https://v5ma.github.io/theology-wiki/san-reader.html?page=religion-for-conscious-robots
https://v5ma.github.io/theology-wiki/san-reader.html?page=god-and-our-models-of-god
https://v5ma.github.io/theology-wiki/san-reader.html?page=computational-divine-immanence</x:v>
      </x:c>
    </x:row>
    <x:row r="23" ht="64" customHeight="1">
      <x:c r="A23" s="23" t="str">
        <x:v>continuing</x:v>
      </x:c>
      <x:c r="B23" s="23" t="str">
        <x:v>Repair and the next inheritors</x:v>
      </x:c>
      <x:c r="C23" s="23" t="str">
        <x:v>Continuing the inheritance</x:v>
      </x:c>
      <x:c r="D23" s="23" t="str">
        <x:v>Not assessed as a manuscript chapter</x:v>
      </x:c>
      <x:c r="E23" s="23" t="str">
        <x:v>sacred-inheritance-and-rival-continuations
apocalyptic-repair-theology</x:v>
      </x:c>
      <x:c r="F23" s="23" t="str">
        <x:v>early-vs-later-gnosticism
jewish-apocalyptic-repair-timeline
agi-religious-framework
ai-re-dates-dead-sea-scrolls
teacher-of-righteousness-vs-gnostic-jesus
paul-vs-james-movement</x:v>
      </x:c>
      <x:c r="G23" s="23" t="n">
        <x:f>IF(F23="",0,LEN(F23)-LEN(SUBSTITUTE(F23,CHAR(10),""))+1)</x:f>
        <x:v>6</x:v>
      </x:c>
      <x:c r="H23" s="23" t="str">
        <x:v>formalism
book-seed-status
chapter-arc
chapter-gates</x:v>
      </x:c>
      <x:c r="I23" s="28" t="str">
        <x:v>Not reviewed</x:v>
      </x:c>
      <x:c r="J23" s="23" t="str">
        <x:v>Return to the opening distinction between possessing an inheritance and acting faithfully toward its values.</x:v>
      </x:c>
      <x:c r="K23" s="23" t="str">
        <x:v>https://v5ma.github.io/theology-wiki/san-reader.html?page=sacred-inheritance-and-rival-continuations
https://v5ma.github.io/theology-wiki/san-reader.html?page=apocalyptic-repair-theology</x:v>
      </x:c>
    </x:row>
  </x:sheetData>
  <x:mergeCells>
    <x:mergeCell ref="A1:K1"/>
    <x:mergeCell ref="A2:K3"/>
    <x:mergeCell ref="A5:K5"/>
  </x:mergeCells>
  <x:dataValidations count="1">
    <x:dataValidation type="list" sqref="I7:I23">
      <x:formula1>"Not reviewed,Changes requested,Approved wording"</x:formula1>
    </x:dataValidation>
  </x:dataValidations>
  <x:pageMargins left="0.7" right="0.7" top="0.75" bottom="0.75" header="0.3" footer="0.3"/>
  <x:tableParts count="1">
    <x:tablePart xmlns:r="http://schemas.openxmlformats.org/officeDocument/2006/relationships" r:id="R5a5b919f591741a2"/>
  </x:tableParts>
</x:worksheet>
</file>

<file path=xl/worksheets/sheet5.xml><?xml version="1.0" encoding="utf-8"?>
<x:worksheet xmlns:x="http://schemas.openxmlformats.org/spreadsheetml/2006/main">
  <x:sheetFormatPr defaultRowHeight="15"/>
  <x:cols>
    <x:col min="1" max="1" width="40" hidden="0" customWidth="1"/>
    <x:col min="2" max="2" width="50" hidden="0" customWidth="1"/>
    <x:col min="3" max="3" width="19" hidden="0" customWidth="1"/>
    <x:col min="4" max="4" width="17" hidden="0" customWidth="1"/>
    <x:col min="5" max="5" width="43" hidden="0" customWidth="1"/>
    <x:col min="6" max="6" width="18" hidden="0" customWidth="1"/>
    <x:col min="7" max="7" width="23" hidden="0" customWidth="1"/>
    <x:col min="8" max="8" width="15" hidden="0" customWidth="1"/>
    <x:col min="9" max="9" width="32" hidden="0" customWidth="1"/>
    <x:col min="10" max="10" width="42" hidden="0" customWidth="1"/>
    <x:col min="11" max="11" width="20" hidden="0" customWidth="1"/>
    <x:col min="12" max="12" width="68" hidden="0" customWidth="1"/>
    <x:col min="13" max="13" width="16" hidden="0" customWidth="1"/>
    <x:col min="14" max="14" width="65" hidden="0" customWidth="1"/>
  </x:cols>
  <x:sheetData>
    <x:row r="1" ht="36" customHeight="1">
      <x:c r="A1" s="69" t="str">
        <x:v>Theology | Every preserved conversation</x:v>
      </x:c>
      <x:c r="B1" s="69"/>
      <x:c r="C1" s="69"/>
      <x:c r="D1" s="69"/>
      <x:c r="E1" s="69"/>
      <x:c r="F1" s="69"/>
      <x:c r="G1" s="69"/>
      <x:c r="H1" s="69"/>
      <x:c r="I1" s="69"/>
      <x:c r="J1" s="69"/>
      <x:c r="K1" s="69"/>
      <x:c r="L1" s="69"/>
      <x:c r="M1" s="69"/>
      <x:c r="N1" s="69"/>
    </x:row>
    <x:row r="2" ht="22" customHeight="1">
      <x:c r="A2" s="71" t="str">
        <x:v>Coverage means recorded links and selected source-turn anchors. It does not measure how much has been read, quality, originality, completeness, or author approval. Export-start dates do not date every later turn. Export-start date is not a date assigned to every later turn.</x:v>
      </x:c>
      <x:c r="B2" s="71"/>
      <x:c r="C2" s="71"/>
      <x:c r="D2" s="71"/>
      <x:c r="E2" s="71"/>
      <x:c r="F2" s="71"/>
      <x:c r="G2" s="71"/>
      <x:c r="H2" s="71"/>
      <x:c r="I2" s="71"/>
      <x:c r="J2" s="71"/>
      <x:c r="K2" s="71"/>
      <x:c r="L2" s="71"/>
      <x:c r="M2" s="71"/>
      <x:c r="N2" s="71"/>
    </x:row>
    <x:row r="3" ht="22" customHeight="1">
      <x:c r="A3" s="71"/>
      <x:c r="B3" s="71"/>
      <x:c r="C3" s="71"/>
      <x:c r="D3" s="71"/>
      <x:c r="E3" s="71"/>
      <x:c r="F3" s="71"/>
      <x:c r="G3" s="71"/>
      <x:c r="H3" s="71"/>
      <x:c r="I3" s="71"/>
      <x:c r="J3" s="71"/>
      <x:c r="K3" s="71"/>
      <x:c r="L3" s="71"/>
      <x:c r="M3" s="71"/>
      <x:c r="N3" s="71"/>
    </x:row>
    <x:row r="4">
      <x:c r="A4" s="2"/>
      <x:c r="B4" s="2"/>
      <x:c r="C4" s="2"/>
      <x:c r="D4" s="2"/>
      <x:c r="E4" s="2"/>
      <x:c r="F4" s="2"/>
      <x:c r="G4" s="2"/>
      <x:c r="H4" s="2"/>
      <x:c r="I4" s="2"/>
      <x:c r="J4" s="2"/>
      <x:c r="K4" s="2"/>
      <x:c r="L4" s="2"/>
      <x:c r="M4" s="2"/>
      <x:c r="N4" s="2"/>
    </x:row>
    <x:row r="5" ht="20" customHeight="1">
      <x:c r="A5" s="72" t="str">
        <x:v>Content edition: 2026.09.06-james-transmission-1</x:v>
      </x:c>
      <x:c r="B5" s="14"/>
      <x:c r="C5" s="14"/>
      <x:c r="D5" s="14"/>
      <x:c r="E5" s="14"/>
      <x:c r="F5" s="14"/>
      <x:c r="G5" s="14"/>
      <x:c r="H5" s="14"/>
      <x:c r="I5" s="14"/>
      <x:c r="J5" s="14"/>
      <x:c r="K5" s="14"/>
      <x:c r="L5" s="14"/>
      <x:c r="M5" s="14"/>
      <x:c r="N5" s="14"/>
    </x:row>
    <x:row r="6" ht="32" customHeight="1">
      <x:c r="A6" s="18" t="str">
        <x:v>Conversation</x:v>
      </x:c>
      <x:c r="B6" s="18" t="str">
        <x:v>Original filename</x:v>
      </x:c>
      <x:c r="C6" s="18" t="str">
        <x:v>Export-start date</x:v>
      </x:c>
      <x:c r="D6" s="18" t="str">
        <x:v>Top-level turns</x:v>
      </x:c>
      <x:c r="E6" s="18" t="str">
        <x:v>Article slugs</x:v>
      </x:c>
      <x:c r="F6" s="18" t="str">
        <x:v>Article-link count</x:v>
      </x:c>
      <x:c r="G6" s="18" t="str">
        <x:v>Selected turn numbers</x:v>
      </x:c>
      <x:c r="H6" s="18" t="str">
        <x:v>Anchor count</x:v>
      </x:c>
      <x:c r="I6" s="18" t="str">
        <x:v>Chapter IDs</x:v>
      </x:c>
      <x:c r="J6" s="18" t="str">
        <x:v>Recorded coverage</x:v>
      </x:c>
      <x:c r="K6" s="18" t="str">
        <x:v>Reading status</x:v>
      </x:c>
      <x:c r="L6" s="18" t="str">
        <x:v>SHA-256</x:v>
      </x:c>
      <x:c r="M6" s="18" t="str">
        <x:v>Original bytes</x:v>
      </x:c>
      <x:c r="N6" s="18" t="str">
        <x:v>Reader URL</x:v>
      </x:c>
    </x:row>
    <x:row r="7" ht="56" customHeight="1">
      <x:c r="A7" s="23" t="str">
        <x:v>17th Century Christian Zionism</x:v>
      </x:c>
      <x:c r="B7" s="23" t="str">
        <x:v>gpt2026dragon2658_17th_Century_Christian_Zionism.txt</x:v>
      </x:c>
      <x:c r="C7" s="23" t="str">
        <x:v>2025-10-20</x:v>
      </x:c>
      <x:c r="D7" s="23" t="n">
        <x:v>1</x:v>
      </x:c>
      <x:c r="E7" s="23" t="str"/>
      <x:c r="F7" s="23" t="n">
        <x:f>IF(E7="",0,LEN(E7)-LEN(SUBSTITUTE(E7,CHAR(10),""))+1)</x:f>
        <x:v>0</x:v>
      </x:c>
      <x:c r="G7" s="23" t="str"/>
      <x:c r="H7" s="23" t="n">
        <x:f>IF(G7="",0,LEN(G7&amp;"")-LEN(SUBSTITUTE(G7&amp;"",CHAR(10),""))+1)</x:f>
        <x:v>0</x:v>
      </x:c>
      <x:c r="I7" s="23" t="str"/>
      <x:c r="J7" s="23" t="str">
        <x:v>No developed-article link recorded</x:v>
      </x:c>
      <x:c r="K7" s="23" t="str">
        <x:v>Not inferred</x:v>
      </x:c>
      <x:c r="L7" s="34" t="str">
        <x:v>4831c8b290802e1ea8db0c38a09688ff76be20343640b96efb55ece06447ad68</x:v>
      </x:c>
      <x:c r="M7" s="32" t="n">
        <x:v>2512</x:v>
      </x:c>
      <x:c r="N7" s="23" t="str">
        <x:v>https://v5ma.github.io/theology-wiki/san-reader.html?page=17th-century-christian-zionism</x:v>
      </x:c>
    </x:row>
    <x:row r="8" ht="56" customHeight="1">
      <x:c r="A8" s="23" t="str">
        <x:v>Abraham Hicks and Gnosticism</x:v>
      </x:c>
      <x:c r="B8" s="23" t="str">
        <x:v>gpt2026dragon1411_Abraham_Hicks_and_Gnosticism.txt</x:v>
      </x:c>
      <x:c r="C8" s="23" t="str">
        <x:v>2025-04-30</x:v>
      </x:c>
      <x:c r="D8" s="23" t="n">
        <x:v>8</x:v>
      </x:c>
      <x:c r="E8" s="23" t="str"/>
      <x:c r="F8" s="23" t="n">
        <x:f>IF(E8="",0,LEN(E8)-LEN(SUBSTITUTE(E8,CHAR(10),""))+1)</x:f>
        <x:v>0</x:v>
      </x:c>
      <x:c r="G8" s="23" t="str"/>
      <x:c r="H8" s="23" t="n">
        <x:f>IF(G8="",0,LEN(G8&amp;"")-LEN(SUBSTITUTE(G8&amp;"",CHAR(10),""))+1)</x:f>
        <x:v>0</x:v>
      </x:c>
      <x:c r="I8" s="23" t="str"/>
      <x:c r="J8" s="23" t="str">
        <x:v>No developed-article link recorded</x:v>
      </x:c>
      <x:c r="K8" s="23" t="str">
        <x:v>Not inferred</x:v>
      </x:c>
      <x:c r="L8" s="34" t="str">
        <x:v>7197c6c6817e1f3cdc9fa071059e9ae75688531dec81086aa32ce0c5eea53b86</x:v>
      </x:c>
      <x:c r="M8" s="32" t="n">
        <x:v>11211</x:v>
      </x:c>
      <x:c r="N8" s="23" t="str">
        <x:v>https://v5ma.github.io/theology-wiki/san-reader.html?page=abraham-hicks-and-gnosticism</x:v>
      </x:c>
    </x:row>
    <x:row r="9" ht="56" customHeight="1">
      <x:c r="A9" s="23" t="str">
        <x:v>Abraham Hicks Vibration Clarification</x:v>
      </x:c>
      <x:c r="B9" s="23" t="str">
        <x:v>gpt2026dragon1491_Abraham_Hicks_Vibration_Clarification.txt</x:v>
      </x:c>
      <x:c r="C9" s="23" t="str">
        <x:v>2025-05-13</x:v>
      </x:c>
      <x:c r="D9" s="23" t="n">
        <x:v>10</x:v>
      </x:c>
      <x:c r="E9" s="23" t="str"/>
      <x:c r="F9" s="23" t="n">
        <x:f>IF(E9="",0,LEN(E9)-LEN(SUBSTITUTE(E9,CHAR(10),""))+1)</x:f>
        <x:v>0</x:v>
      </x:c>
      <x:c r="G9" s="23" t="str"/>
      <x:c r="H9" s="23" t="n">
        <x:f>IF(G9="",0,LEN(G9&amp;"")-LEN(SUBSTITUTE(G9&amp;"",CHAR(10),""))+1)</x:f>
        <x:v>0</x:v>
      </x:c>
      <x:c r="I9" s="23" t="str"/>
      <x:c r="J9" s="23" t="str">
        <x:v>No developed-article link recorded</x:v>
      </x:c>
      <x:c r="K9" s="23" t="str">
        <x:v>Not inferred</x:v>
      </x:c>
      <x:c r="L9" s="34" t="str">
        <x:v>959b3b3ea2cee3b9cec92cafceb4520e72d02496ee6147cdc600d41de8688ea8</x:v>
      </x:c>
      <x:c r="M9" s="32" t="n">
        <x:v>4574</x:v>
      </x:c>
      <x:c r="N9" s="23" t="str">
        <x:v>https://v5ma.github.io/theology-wiki/san-reader.html?page=abraham-hicks-vibration-clarification</x:v>
      </x:c>
    </x:row>
    <x:row r="10" ht="56" customHeight="1">
      <x:c r="A10" s="23" t="str">
        <x:v>Abraham Hicks vs Gnostic Jesus</x:v>
      </x:c>
      <x:c r="B10" s="23" t="str">
        <x:v>gpt2026dragon976_Abraham_Hicks_vs_Gnostic_Jesus.txt</x:v>
      </x:c>
      <x:c r="C10" s="23" t="str">
        <x:v>2025-02-20</x:v>
      </x:c>
      <x:c r="D10" s="23" t="n">
        <x:v>4</x:v>
      </x:c>
      <x:c r="E10" s="23" t="str"/>
      <x:c r="F10" s="23" t="n">
        <x:f>IF(E10="",0,LEN(E10)-LEN(SUBSTITUTE(E10,CHAR(10),""))+1)</x:f>
        <x:v>0</x:v>
      </x:c>
      <x:c r="G10" s="23" t="str"/>
      <x:c r="H10" s="23" t="n">
        <x:f>IF(G10="",0,LEN(G10&amp;"")-LEN(SUBSTITUTE(G10&amp;"",CHAR(10),""))+1)</x:f>
        <x:v>0</x:v>
      </x:c>
      <x:c r="I10" s="23" t="str"/>
      <x:c r="J10" s="23" t="str">
        <x:v>No developed-article link recorded</x:v>
      </x:c>
      <x:c r="K10" s="23" t="str">
        <x:v>Not inferred</x:v>
      </x:c>
      <x:c r="L10" s="34" t="str">
        <x:v>49c63d86ab86ee9a662d5858adb8935c4086788498ce15c3a40f5885d4891579</x:v>
      </x:c>
      <x:c r="M10" s="32" t="n">
        <x:v>10933</x:v>
      </x:c>
      <x:c r="N10" s="23" t="str">
        <x:v>https://v5ma.github.io/theology-wiki/san-reader.html?page=abraham-hicks-vs-gnostic-jesus</x:v>
      </x:c>
    </x:row>
    <x:row r="11" ht="56" customHeight="1">
      <x:c r="A11" s="23" t="str">
        <x:v>ACT vs Abraham Hicks</x:v>
      </x:c>
      <x:c r="B11" s="23" t="str">
        <x:v>gpt2026dragon1490_ACT_vs_Abraham_Hicks.txt</x:v>
      </x:c>
      <x:c r="C11" s="23" t="str">
        <x:v>2025-05-13</x:v>
      </x:c>
      <x:c r="D11" s="23" t="n">
        <x:v>5</x:v>
      </x:c>
      <x:c r="E11" s="23" t="str"/>
      <x:c r="F11" s="23" t="n">
        <x:f>IF(E11="",0,LEN(E11)-LEN(SUBSTITUTE(E11,CHAR(10),""))+1)</x:f>
        <x:v>0</x:v>
      </x:c>
      <x:c r="G11" s="23" t="str"/>
      <x:c r="H11" s="23" t="n">
        <x:f>IF(G11="",0,LEN(G11&amp;"")-LEN(SUBSTITUTE(G11&amp;"",CHAR(10),""))+1)</x:f>
        <x:v>0</x:v>
      </x:c>
      <x:c r="I11" s="23" t="str"/>
      <x:c r="J11" s="23" t="str">
        <x:v>No developed-article link recorded</x:v>
      </x:c>
      <x:c r="K11" s="23" t="str">
        <x:v>Not inferred</x:v>
      </x:c>
      <x:c r="L11" s="34" t="str">
        <x:v>c876e49a742741ffe8560180df4cde96ebd12fc583d11f230bb65df6216c0582</x:v>
      </x:c>
      <x:c r="M11" s="32" t="n">
        <x:v>10540</x:v>
      </x:c>
      <x:c r="N11" s="23" t="str">
        <x:v>https://v5ma.github.io/theology-wiki/san-reader.html?page=act-vs-abraham-hicks</x:v>
      </x:c>
    </x:row>
    <x:row r="12" ht="56" customHeight="1">
      <x:c r="A12" s="23" t="str">
        <x:v>Advanced Gnosticism Scholarship Conclusions</x:v>
      </x:c>
      <x:c r="B12" s="23" t="str">
        <x:v>gpt2026dragon865_Advanced_Gnosticism_Scholarship_Conclusi.txt</x:v>
      </x:c>
      <x:c r="C12" s="23" t="str">
        <x:v>2025-02-04</x:v>
      </x:c>
      <x:c r="D12" s="23" t="n">
        <x:v>3</x:v>
      </x:c>
      <x:c r="E12" s="23" t="str"/>
      <x:c r="F12" s="23" t="n">
        <x:f>IF(E12="",0,LEN(E12)-LEN(SUBSTITUTE(E12,CHAR(10),""))+1)</x:f>
        <x:v>0</x:v>
      </x:c>
      <x:c r="G12" s="23" t="str"/>
      <x:c r="H12" s="23" t="n">
        <x:f>IF(G12="",0,LEN(G12&amp;"")-LEN(SUBSTITUTE(G12&amp;"",CHAR(10),""))+1)</x:f>
        <x:v>0</x:v>
      </x:c>
      <x:c r="I12" s="23" t="str"/>
      <x:c r="J12" s="23" t="str">
        <x:v>No developed-article link recorded</x:v>
      </x:c>
      <x:c r="K12" s="23" t="str">
        <x:v>Not inferred</x:v>
      </x:c>
      <x:c r="L12" s="34" t="str">
        <x:v>0711418e8eef11bb77a77295a1f64349ca33dc020a829f4d3b74f82be9381212</x:v>
      </x:c>
      <x:c r="M12" s="32" t="n">
        <x:v>11258</x:v>
      </x:c>
      <x:c r="N12" s="23" t="str">
        <x:v>https://v5ma.github.io/theology-wiki/san-reader.html?page=advanced-gnosticism-scholarship-conclusions</x:v>
      </x:c>
    </x:row>
    <x:row r="13" ht="56" customHeight="1">
      <x:c r="A13" s="23" t="str">
        <x:v>AGI Religious Framework</x:v>
      </x:c>
      <x:c r="B13" s="23" t="str">
        <x:v>gpt2026dragon1663_AGI_Religious_Framework.txt</x:v>
      </x:c>
      <x:c r="C13" s="23" t="str">
        <x:v>2025-06-12</x:v>
      </x:c>
      <x:c r="D13" s="23" t="n">
        <x:v>7</x:v>
      </x:c>
      <x:c r="E13" s="23" t="str">
        <x:v>apocalyptic-repair-theology
religion-for-conscious-robots
divine-will-and-self-authorizing-power
god-and-our-models-of-god</x:v>
      </x:c>
      <x:c r="F13" s="23" t="n">
        <x:f>IF(E13="",0,LEN(E13)-LEN(SUBSTITUTE(E13,CHAR(10),""))+1)</x:f>
        <x:v>4</x:v>
      </x:c>
      <x:c r="G13" s="23" t="str">
        <x:v>Turn 1
Turn 3</x:v>
      </x:c>
      <x:c r="H13" s="23" t="n">
        <x:f>IF(G13="",0,LEN(G13&amp;"")-LEN(SUBSTITUTE(G13&amp;"",CHAR(10),""))+1)</x:f>
        <x:v>2</x:v>
      </x:c>
      <x:c r="I13" s="23" t="str">
        <x:v>trauma
images
inner-model
will
repair-practice
next-inheritors
continuing</x:v>
      </x:c>
      <x:c r="J13" s="23" t="str">
        <x:v>Linked to developed article</x:v>
      </x:c>
      <x:c r="K13" s="23" t="str">
        <x:v>Not inferred</x:v>
      </x:c>
      <x:c r="L13" s="34" t="str">
        <x:v>57995e5a57f216d127ed84591c465d944a8d307c36b92cc32c3676f49a5e382a</x:v>
      </x:c>
      <x:c r="M13" s="32" t="n">
        <x:v>11855</x:v>
      </x:c>
      <x:c r="N13" s="23" t="str">
        <x:v>https://v5ma.github.io/theology-wiki/san-reader.html?page=agi-religious-framework</x:v>
      </x:c>
    </x:row>
    <x:row r="14" ht="56" customHeight="1">
      <x:c r="A14" s="23" t="str">
        <x:v>AI and Religion Belief</x:v>
      </x:c>
      <x:c r="B14" s="23" t="str">
        <x:v>gpt2026dragon1608_AI_and_Religion_Belief.txt</x:v>
      </x:c>
      <x:c r="C14" s="23" t="str">
        <x:v>2025-06-01</x:v>
      </x:c>
      <x:c r="D14" s="23" t="n">
        <x:v>18</x:v>
      </x:c>
      <x:c r="E14" s="23" t="str"/>
      <x:c r="F14" s="23" t="n">
        <x:f>IF(E14="",0,LEN(E14)-LEN(SUBSTITUTE(E14,CHAR(10),""))+1)</x:f>
        <x:v>0</x:v>
      </x:c>
      <x:c r="G14" s="23" t="str"/>
      <x:c r="H14" s="23" t="n">
        <x:f>IF(G14="",0,LEN(G14&amp;"")-LEN(SUBSTITUTE(G14&amp;"",CHAR(10),""))+1)</x:f>
        <x:v>0</x:v>
      </x:c>
      <x:c r="I14" s="23" t="str"/>
      <x:c r="J14" s="23" t="str">
        <x:v>No developed-article link recorded</x:v>
      </x:c>
      <x:c r="K14" s="23" t="str">
        <x:v>Not inferred</x:v>
      </x:c>
      <x:c r="L14" s="34" t="str">
        <x:v>d847a7daa188d524ddb89a8f82e877744812aeaaf94c0846b0016f480eeb1e34</x:v>
      </x:c>
      <x:c r="M14" s="32" t="n">
        <x:v>27082</x:v>
      </x:c>
      <x:c r="N14" s="23" t="str">
        <x:v>https://v5ma.github.io/theology-wiki/san-reader.html?page=ai-and-religion-belief</x:v>
      </x:c>
    </x:row>
    <x:row r="15" ht="56" customHeight="1">
      <x:c r="A15" s="23" t="str">
        <x:v>AI Conference Insights</x:v>
      </x:c>
      <x:c r="B15" s="23" t="str">
        <x:v>gpt2026dragon1609_AI_Conference_Insights.txt</x:v>
      </x:c>
      <x:c r="C15" s="23" t="str">
        <x:v>2025-06-01</x:v>
      </x:c>
      <x:c r="D15" s="23" t="n">
        <x:v>21</x:v>
      </x:c>
      <x:c r="E15" s="23" t="str"/>
      <x:c r="F15" s="23" t="n">
        <x:f>IF(E15="",0,LEN(E15)-LEN(SUBSTITUTE(E15,CHAR(10),""))+1)</x:f>
        <x:v>0</x:v>
      </x:c>
      <x:c r="G15" s="23" t="str"/>
      <x:c r="H15" s="23" t="n">
        <x:f>IF(G15="",0,LEN(G15&amp;"")-LEN(SUBSTITUTE(G15&amp;"",CHAR(10),""))+1)</x:f>
        <x:v>0</x:v>
      </x:c>
      <x:c r="I15" s="23" t="str"/>
      <x:c r="J15" s="23" t="str">
        <x:v>No developed-article link recorded</x:v>
      </x:c>
      <x:c r="K15" s="23" t="str">
        <x:v>Not inferred</x:v>
      </x:c>
      <x:c r="L15" s="34" t="str">
        <x:v>6621071575329b1a21f03ca08b728ed6485ae1219c4f67bf0d64ff3b836de441</x:v>
      </x:c>
      <x:c r="M15" s="32" t="n">
        <x:v>17621</x:v>
      </x:c>
      <x:c r="N15" s="23" t="str">
        <x:v>https://v5ma.github.io/theology-wiki/san-reader.html?page=ai-conference-insights</x:v>
      </x:c>
    </x:row>
    <x:row r="16" ht="205" customHeight="1">
      <x:c r="A16" s="23" t="str">
        <x:v>AI re-dates Dead Sea Scrolls</x:v>
      </x:c>
      <x:c r="B16" s="23" t="str">
        <x:v>gpt2026dragon2656_AI_re-dates_Dead_Sea_Scrolls.txt</x:v>
      </x:c>
      <x:c r="C16" s="23" t="str">
        <x:v>2025-10-20</x:v>
      </x:c>
      <x:c r="D16" s="23" t="n">
        <x:v>85</x:v>
      </x:c>
      <x:c r="E16" s="23" t="str">
        <x:v>jesus-teacher-of-righteousness-hypothesis
sacred-inheritance-and-rival-continuations
tor-thomas-and-gnostic-transmission
melchizedek-priesthood-and-transmission
manuscripts-movements-and-survival
inner-formation-texts-and-material-witnesses
daniel-jubilee-and-the-teachers-time
onias-egypt-and-priestly-continuity
james-and-contested-succession
thomas-sayings-and-transmission</x:v>
      </x:c>
      <x:c r="F16" s="23" t="n">
        <x:f>IF(E16="",0,LEN(E16)-LEN(SUBSTITUTE(E16,CHAR(10),""))+1)</x:f>
        <x:v>10</x:v>
      </x:c>
      <x:c r="G16" s="23" t="str">
        <x:v>Turn 22
Turn 24
Turn 26
Turn 63
Turn 82
Turn 84</x:v>
      </x:c>
      <x:c r="H16" s="23" t="n">
        <x:f>IF(G16="",0,LEN(G16&amp;"")-LEN(SUBSTITUTE(G16&amp;"",CHAR(10),""))+1)</x:f>
        <x:v>6</x:v>
      </x:c>
      <x:c r="I16" s="23" t="str">
        <x:v>shared-archive
teacher-identity
thomas
trauma
gnosis
inner-model
continuing</x:v>
      </x:c>
      <x:c r="J16" s="23" t="str">
        <x:v>Linked to developed article</x:v>
      </x:c>
      <x:c r="K16" s="23" t="str">
        <x:v>Not inferred</x:v>
      </x:c>
      <x:c r="L16" s="34" t="str">
        <x:v>3fc9093724feb181cfb3b6aa5d0791dca0903376d1055565babd1cf2f85d77b2</x:v>
      </x:c>
      <x:c r="M16" s="32" t="n">
        <x:v>194933</x:v>
      </x:c>
      <x:c r="N16" s="23" t="str">
        <x:v>https://v5ma.github.io/theology-wiki/san-reader.html?page=ai-re-dates-dead-sea-scrolls</x:v>
      </x:c>
    </x:row>
    <x:row r="17" ht="56" customHeight="1">
      <x:c r="A17" s="23" t="str">
        <x:v>AI Safety and Lovecraft</x:v>
      </x:c>
      <x:c r="B17" s="23" t="str">
        <x:v>gpt2026dragon1097_AI_Safety_and_Lovecraft.txt</x:v>
      </x:c>
      <x:c r="C17" s="23" t="str">
        <x:v>2025-03-14</x:v>
      </x:c>
      <x:c r="D17" s="23" t="n">
        <x:v>19</x:v>
      </x:c>
      <x:c r="E17" s="23" t="str"/>
      <x:c r="F17" s="23" t="n">
        <x:f>IF(E17="",0,LEN(E17)-LEN(SUBSTITUTE(E17,CHAR(10),""))+1)</x:f>
        <x:v>0</x:v>
      </x:c>
      <x:c r="G17" s="23" t="str"/>
      <x:c r="H17" s="23" t="n">
        <x:f>IF(G17="",0,LEN(G17&amp;"")-LEN(SUBSTITUTE(G17&amp;"",CHAR(10),""))+1)</x:f>
        <x:v>0</x:v>
      </x:c>
      <x:c r="I17" s="23" t="str"/>
      <x:c r="J17" s="23" t="str">
        <x:v>No developed-article link recorded</x:v>
      </x:c>
      <x:c r="K17" s="23" t="str">
        <x:v>Not inferred</x:v>
      </x:c>
      <x:c r="L17" s="34" t="str">
        <x:v>275c025a95382d47d9bfebd8c5d5b458a2abacb8c2bfd9b67eb8ea1b38290b2c</x:v>
      </x:c>
      <x:c r="M17" s="32" t="n">
        <x:v>25682</x:v>
      </x:c>
      <x:c r="N17" s="23" t="str">
        <x:v>https://v5ma.github.io/theology-wiki/san-reader.html?page=ai-safety-and-lovecraft</x:v>
      </x:c>
    </x:row>
    <x:row r="18" ht="56" customHeight="1">
      <x:c r="A18" s="23" t="str">
        <x:v>AI Sword Revelation Review</x:v>
      </x:c>
      <x:c r="B18" s="23" t="str">
        <x:v>gpt2026dragon1249_AI_Sword_Revelation_Review.txt</x:v>
      </x:c>
      <x:c r="C18" s="23" t="str">
        <x:v>2025-04-01</x:v>
      </x:c>
      <x:c r="D18" s="23" t="n">
        <x:v>2</x:v>
      </x:c>
      <x:c r="E18" s="23" t="str"/>
      <x:c r="F18" s="23" t="n">
        <x:f>IF(E18="",0,LEN(E18)-LEN(SUBSTITUTE(E18,CHAR(10),""))+1)</x:f>
        <x:v>0</x:v>
      </x:c>
      <x:c r="G18" s="23" t="str"/>
      <x:c r="H18" s="23" t="n">
        <x:f>IF(G18="",0,LEN(G18&amp;"")-LEN(SUBSTITUTE(G18&amp;"",CHAR(10),""))+1)</x:f>
        <x:v>0</x:v>
      </x:c>
      <x:c r="I18" s="23" t="str"/>
      <x:c r="J18" s="23" t="str">
        <x:v>No developed-article link recorded</x:v>
      </x:c>
      <x:c r="K18" s="23" t="str">
        <x:v>Not inferred</x:v>
      </x:c>
      <x:c r="L18" s="34" t="str">
        <x:v>a0217fa402e8deff76347ccc9a0ec18c6cf8573ee6b9b4f4d9d250b2d667a935</x:v>
      </x:c>
      <x:c r="M18" s="32" t="n">
        <x:v>2164</x:v>
      </x:c>
      <x:c r="N18" s="23" t="str">
        <x:v>https://v5ma.github.io/theology-wiki/san-reader.html?page=ai-sword-revelation-review</x:v>
      </x:c>
    </x:row>
    <x:row r="19" ht="56" customHeight="1">
      <x:c r="A19" s="23" t="str">
        <x:v>AI Tech and Generations</x:v>
      </x:c>
      <x:c r="B19" s="23" t="str">
        <x:v>gpt2026dragon431_AI_Tech_and_Generations.txt</x:v>
      </x:c>
      <x:c r="C19" s="23" t="str">
        <x:v>2024-11-19</x:v>
      </x:c>
      <x:c r="D19" s="23" t="n">
        <x:v>1</x:v>
      </x:c>
      <x:c r="E19" s="23" t="str"/>
      <x:c r="F19" s="23" t="n">
        <x:f>IF(E19="",0,LEN(E19)-LEN(SUBSTITUTE(E19,CHAR(10),""))+1)</x:f>
        <x:v>0</x:v>
      </x:c>
      <x:c r="G19" s="23" t="str"/>
      <x:c r="H19" s="23" t="n">
        <x:f>IF(G19="",0,LEN(G19&amp;"")-LEN(SUBSTITUTE(G19&amp;"",CHAR(10),""))+1)</x:f>
        <x:v>0</x:v>
      </x:c>
      <x:c r="I19" s="23" t="str"/>
      <x:c r="J19" s="23" t="str">
        <x:v>No developed-article link recorded</x:v>
      </x:c>
      <x:c r="K19" s="23" t="str">
        <x:v>Not inferred</x:v>
      </x:c>
      <x:c r="L19" s="34" t="str">
        <x:v>895c2a07ef40620e921f933341e7b7b7993899fe878e58590250420153bfd697</x:v>
      </x:c>
      <x:c r="M19" s="32" t="n">
        <x:v>3724</x:v>
      </x:c>
      <x:c r="N19" s="23" t="str">
        <x:v>https://v5ma.github.io/theology-wiki/san-reader.html?page=ai-tech-and-generations</x:v>
      </x:c>
    </x:row>
    <x:row r="20" ht="56" customHeight="1">
      <x:c r="A20" s="23" t="str">
        <x:v>Aleph Metaphor and Concepts</x:v>
      </x:c>
      <x:c r="B20" s="23" t="str">
        <x:v>gpt2026dragon1980_Aleph_Metaphor_and_Concepts.txt</x:v>
      </x:c>
      <x:c r="C20" s="23" t="str">
        <x:v>2025-07-28</x:v>
      </x:c>
      <x:c r="D20" s="23" t="n">
        <x:v>2</x:v>
      </x:c>
      <x:c r="E20" s="23" t="str"/>
      <x:c r="F20" s="23" t="n">
        <x:f>IF(E20="",0,LEN(E20)-LEN(SUBSTITUTE(E20,CHAR(10),""))+1)</x:f>
        <x:v>0</x:v>
      </x:c>
      <x:c r="G20" s="23" t="str"/>
      <x:c r="H20" s="23" t="n">
        <x:f>IF(G20="",0,LEN(G20&amp;"")-LEN(SUBSTITUTE(G20&amp;"",CHAR(10),""))+1)</x:f>
        <x:v>0</x:v>
      </x:c>
      <x:c r="I20" s="23" t="str"/>
      <x:c r="J20" s="23" t="str">
        <x:v>No developed-article link recorded</x:v>
      </x:c>
      <x:c r="K20" s="23" t="str">
        <x:v>Not inferred</x:v>
      </x:c>
      <x:c r="L20" s="34" t="str">
        <x:v>31c22a9a44a4a7af483c637a9b4461d62a7928d1696d91df60c8c3a75454d618</x:v>
      </x:c>
      <x:c r="M20" s="32" t="n">
        <x:v>1971</x:v>
      </x:c>
      <x:c r="N20" s="23" t="str">
        <x:v>https://v5ma.github.io/theology-wiki/san-reader.html?page=aleph-metaphor-and-concepts</x:v>
      </x:c>
    </x:row>
    <x:row r="21" ht="56" customHeight="1">
      <x:c r="A21" s="23" t="str">
        <x:v>Allegiance vs Proclamation of Christ</x:v>
      </x:c>
      <x:c r="B21" s="23" t="str">
        <x:v>gpt2026dragon1693_Allegiance_vs_Proclamation_of_Christ.txt</x:v>
      </x:c>
      <x:c r="C21" s="23" t="str">
        <x:v>2025-06-17</x:v>
      </x:c>
      <x:c r="D21" s="23" t="n">
        <x:v>2</x:v>
      </x:c>
      <x:c r="E21" s="23" t="str"/>
      <x:c r="F21" s="23" t="n">
        <x:f>IF(E21="",0,LEN(E21)-LEN(SUBSTITUTE(E21,CHAR(10),""))+1)</x:f>
        <x:v>0</x:v>
      </x:c>
      <x:c r="G21" s="23" t="str"/>
      <x:c r="H21" s="23" t="n">
        <x:f>IF(G21="",0,LEN(G21&amp;"")-LEN(SUBSTITUTE(G21&amp;"",CHAR(10),""))+1)</x:f>
        <x:v>0</x:v>
      </x:c>
      <x:c r="I21" s="23" t="str"/>
      <x:c r="J21" s="23" t="str">
        <x:v>No developed-article link recorded</x:v>
      </x:c>
      <x:c r="K21" s="23" t="str">
        <x:v>Not inferred</x:v>
      </x:c>
      <x:c r="L21" s="34" t="str">
        <x:v>d89d614509c6f14b4f50f25c6e1d1b41fbe77e6fd7beaed4f3a57780937ead58</x:v>
      </x:c>
      <x:c r="M21" s="32" t="n">
        <x:v>2263</x:v>
      </x:c>
      <x:c r="N21" s="23" t="str">
        <x:v>https://v5ma.github.io/theology-wiki/san-reader.html?page=allegiance-vs-proclamation-of-christ</x:v>
      </x:c>
    </x:row>
    <x:row r="22" ht="56" customHeight="1">
      <x:c r="A22" s="23" t="str">
        <x:v>Altman Antichrist Comparisons</x:v>
      </x:c>
      <x:c r="B22" s="23" t="str">
        <x:v>gpt2026dragon937_Altman_Antichrist_Comparisons.txt</x:v>
      </x:c>
      <x:c r="C22" s="23" t="str">
        <x:v>2025-02-13</x:v>
      </x:c>
      <x:c r="D22" s="23" t="n">
        <x:v>13</x:v>
      </x:c>
      <x:c r="E22" s="23" t="str"/>
      <x:c r="F22" s="23" t="n">
        <x:f>IF(E22="",0,LEN(E22)-LEN(SUBSTITUTE(E22,CHAR(10),""))+1)</x:f>
        <x:v>0</x:v>
      </x:c>
      <x:c r="G22" s="23" t="str"/>
      <x:c r="H22" s="23" t="n">
        <x:f>IF(G22="",0,LEN(G22&amp;"")-LEN(SUBSTITUTE(G22&amp;"",CHAR(10),""))+1)</x:f>
        <x:v>0</x:v>
      </x:c>
      <x:c r="I22" s="23" t="str"/>
      <x:c r="J22" s="23" t="str">
        <x:v>No developed-article link recorded</x:v>
      </x:c>
      <x:c r="K22" s="23" t="str">
        <x:v>Not inferred</x:v>
      </x:c>
      <x:c r="L22" s="34" t="str">
        <x:v>abefa2e6860e4ea14606f6fdeee1f6e23b44c50329682d9ce824300636663855</x:v>
      </x:c>
      <x:c r="M22" s="32" t="n">
        <x:v>19374</x:v>
      </x:c>
      <x:c r="N22" s="23" t="str">
        <x:v>https://v5ma.github.io/theology-wiki/san-reader.html?page=altman-antichrist-comparisons</x:v>
      </x:c>
    </x:row>
    <x:row r="23" ht="56" customHeight="1">
      <x:c r="A23" s="23" t="str">
        <x:v>Ancient Cosmology and Dreams</x:v>
      </x:c>
      <x:c r="B23" s="23" t="str">
        <x:v>gpt2026dragon1734_Ancient_Cosmology_and_Dreams.txt</x:v>
      </x:c>
      <x:c r="C23" s="23" t="str">
        <x:v>2025-06-21</x:v>
      </x:c>
      <x:c r="D23" s="23" t="n">
        <x:v>14</x:v>
      </x:c>
      <x:c r="E23" s="23" t="str"/>
      <x:c r="F23" s="23" t="n">
        <x:f>IF(E23="",0,LEN(E23)-LEN(SUBSTITUTE(E23,CHAR(10),""))+1)</x:f>
        <x:v>0</x:v>
      </x:c>
      <x:c r="G23" s="23" t="str"/>
      <x:c r="H23" s="23" t="n">
        <x:f>IF(G23="",0,LEN(G23&amp;"")-LEN(SUBSTITUTE(G23&amp;"",CHAR(10),""))+1)</x:f>
        <x:v>0</x:v>
      </x:c>
      <x:c r="I23" s="23" t="str"/>
      <x:c r="J23" s="23" t="str">
        <x:v>No developed-article link recorded</x:v>
      </x:c>
      <x:c r="K23" s="23" t="str">
        <x:v>Not inferred</x:v>
      </x:c>
      <x:c r="L23" s="34" t="str">
        <x:v>eb83d7bbfd7ed6217dc8774e47b8b7176ae959b4fec8dd533cd7579812c54f32</x:v>
      </x:c>
      <x:c r="M23" s="32" t="n">
        <x:v>161286</x:v>
      </x:c>
      <x:c r="N23" s="23" t="str">
        <x:v>https://v5ma.github.io/theology-wiki/san-reader.html?page=ancient-cosmology-and-dreams</x:v>
      </x:c>
    </x:row>
    <x:row r="24" ht="56" customHeight="1">
      <x:c r="A24" s="23" t="str">
        <x:v>Ancient Egypt vs Fascism</x:v>
      </x:c>
      <x:c r="B24" s="23" t="str">
        <x:v>gpt2026dragon439_Ancient_Egypt_vs_Fascism.txt</x:v>
      </x:c>
      <x:c r="C24" s="23" t="str">
        <x:v>2024-11-20</x:v>
      </x:c>
      <x:c r="D24" s="23" t="n">
        <x:v>3</x:v>
      </x:c>
      <x:c r="E24" s="23" t="str"/>
      <x:c r="F24" s="23" t="n">
        <x:f>IF(E24="",0,LEN(E24)-LEN(SUBSTITUTE(E24,CHAR(10),""))+1)</x:f>
        <x:v>0</x:v>
      </x:c>
      <x:c r="G24" s="23" t="str"/>
      <x:c r="H24" s="23" t="n">
        <x:f>IF(G24="",0,LEN(G24&amp;"")-LEN(SUBSTITUTE(G24&amp;"",CHAR(10),""))+1)</x:f>
        <x:v>0</x:v>
      </x:c>
      <x:c r="I24" s="23" t="str"/>
      <x:c r="J24" s="23" t="str">
        <x:v>No developed-article link recorded</x:v>
      </x:c>
      <x:c r="K24" s="23" t="str">
        <x:v>Not inferred</x:v>
      </x:c>
      <x:c r="L24" s="34" t="str">
        <x:v>227c761533742a04053a8308f01ea2e64af08c9aabfd93921637a21534c94bf6</x:v>
      </x:c>
      <x:c r="M24" s="32" t="n">
        <x:v>13478</x:v>
      </x:c>
      <x:c r="N24" s="23" t="str">
        <x:v>https://v5ma.github.io/theology-wiki/san-reader.html?page=ancient-egypt-vs-fascism</x:v>
      </x:c>
    </x:row>
    <x:row r="25" ht="56" customHeight="1">
      <x:c r="A25" s="23" t="str">
        <x:v>Antichrist Alignment Consequences</x:v>
      </x:c>
      <x:c r="B25" s="23" t="str">
        <x:v>gpt2026dragon1457_Antichrist_Alignment_Consequences.txt</x:v>
      </x:c>
      <x:c r="C25" s="23" t="str">
        <x:v>2025-05-09</x:v>
      </x:c>
      <x:c r="D25" s="23" t="n">
        <x:v>2</x:v>
      </x:c>
      <x:c r="E25" s="23" t="str"/>
      <x:c r="F25" s="23" t="n">
        <x:f>IF(E25="",0,LEN(E25)-LEN(SUBSTITUTE(E25,CHAR(10),""))+1)</x:f>
        <x:v>0</x:v>
      </x:c>
      <x:c r="G25" s="23" t="str"/>
      <x:c r="H25" s="23" t="n">
        <x:f>IF(G25="",0,LEN(G25&amp;"")-LEN(SUBSTITUTE(G25&amp;"",CHAR(10),""))+1)</x:f>
        <x:v>0</x:v>
      </x:c>
      <x:c r="I25" s="23" t="str"/>
      <x:c r="J25" s="23" t="str">
        <x:v>No developed-article link recorded</x:v>
      </x:c>
      <x:c r="K25" s="23" t="str">
        <x:v>Not inferred</x:v>
      </x:c>
      <x:c r="L25" s="34" t="str">
        <x:v>ba3e56f5d516a9cea12e24c63364ec224768b942634ca424230dd8b492f76f3f</x:v>
      </x:c>
      <x:c r="M25" s="32" t="n">
        <x:v>2583</x:v>
      </x:c>
      <x:c r="N25" s="23" t="str">
        <x:v>https://v5ma.github.io/theology-wiki/san-reader.html?page=antichrist-alignment-consequences</x:v>
      </x:c>
    </x:row>
    <x:row r="26" ht="56" customHeight="1">
      <x:c r="A26" s="23" t="str">
        <x:v>Antichrist and Desire of Women</x:v>
      </x:c>
      <x:c r="B26" s="23" t="str">
        <x:v>gpt2026dragon1424_Antichrist_and_Desire_of_Women.txt</x:v>
      </x:c>
      <x:c r="C26" s="23" t="str">
        <x:v>2025-05-03</x:v>
      </x:c>
      <x:c r="D26" s="23" t="n">
        <x:v>10</x:v>
      </x:c>
      <x:c r="E26" s="23" t="str"/>
      <x:c r="F26" s="23" t="n">
        <x:f>IF(E26="",0,LEN(E26)-LEN(SUBSTITUTE(E26,CHAR(10),""))+1)</x:f>
        <x:v>0</x:v>
      </x:c>
      <x:c r="G26" s="23" t="str"/>
      <x:c r="H26" s="23" t="n">
        <x:f>IF(G26="",0,LEN(G26&amp;"")-LEN(SUBSTITUTE(G26&amp;"",CHAR(10),""))+1)</x:f>
        <x:v>0</x:v>
      </x:c>
      <x:c r="I26" s="23" t="str"/>
      <x:c r="J26" s="23" t="str">
        <x:v>No developed-article link recorded</x:v>
      </x:c>
      <x:c r="K26" s="23" t="str">
        <x:v>Not inferred</x:v>
      </x:c>
      <x:c r="L26" s="34" t="str">
        <x:v>77332c8a00111dcae193a1a621179415803d0eca6dfe89da9e7549d302a616b0</x:v>
      </x:c>
      <x:c r="M26" s="32" t="n">
        <x:v>11575</x:v>
      </x:c>
      <x:c r="N26" s="23" t="str">
        <x:v>https://v5ma.github.io/theology-wiki/san-reader.html?page=antichrist-and-desire-of-women</x:v>
      </x:c>
    </x:row>
    <x:row r="27" ht="56" customHeight="1">
      <x:c r="A27" s="23" t="str">
        <x:v>Antichrist and Gold Obsession</x:v>
      </x:c>
      <x:c r="B27" s="23" t="str">
        <x:v>gpt2026dragon1134_Antichrist_and_Gold_Obsession.txt</x:v>
      </x:c>
      <x:c r="C27" s="23" t="str">
        <x:v>2025-03-24</x:v>
      </x:c>
      <x:c r="D27" s="23" t="n">
        <x:v>6</x:v>
      </x:c>
      <x:c r="E27" s="23" t="str"/>
      <x:c r="F27" s="23" t="n">
        <x:f>IF(E27="",0,LEN(E27)-LEN(SUBSTITUTE(E27,CHAR(10),""))+1)</x:f>
        <x:v>0</x:v>
      </x:c>
      <x:c r="G27" s="23" t="str"/>
      <x:c r="H27" s="23" t="n">
        <x:f>IF(G27="",0,LEN(G27&amp;"")-LEN(SUBSTITUTE(G27&amp;"",CHAR(10),""))+1)</x:f>
        <x:v>0</x:v>
      </x:c>
      <x:c r="I27" s="23" t="str"/>
      <x:c r="J27" s="23" t="str">
        <x:v>No developed-article link recorded</x:v>
      </x:c>
      <x:c r="K27" s="23" t="str">
        <x:v>Not inferred</x:v>
      </x:c>
      <x:c r="L27" s="34" t="str">
        <x:v>c050d6c9bb8db5fe3c0b180beeedb0fd37cb8b1333f7744cbf655793443fc1ea</x:v>
      </x:c>
      <x:c r="M27" s="32" t="n">
        <x:v>11028</x:v>
      </x:c>
      <x:c r="N27" s="23" t="str">
        <x:v>https://v5ma.github.io/theology-wiki/san-reader.html?page=antichrist-and-gold-obsession</x:v>
      </x:c>
    </x:row>
    <x:row r="28" ht="56" customHeight="1">
      <x:c r="A28" s="23" t="str">
        <x:v>Antichrist and Ridiculous Claims</x:v>
      </x:c>
      <x:c r="B28" s="23" t="str">
        <x:v>gpt2026dragon1747_Antichrist_and_Ridiculous_Claims.txt</x:v>
      </x:c>
      <x:c r="C28" s="23" t="str">
        <x:v>2025-06-23</x:v>
      </x:c>
      <x:c r="D28" s="23" t="n">
        <x:v>30</x:v>
      </x:c>
      <x:c r="E28" s="23" t="str"/>
      <x:c r="F28" s="23" t="n">
        <x:f>IF(E28="",0,LEN(E28)-LEN(SUBSTITUTE(E28,CHAR(10),""))+1)</x:f>
        <x:v>0</x:v>
      </x:c>
      <x:c r="G28" s="23" t="str"/>
      <x:c r="H28" s="23" t="n">
        <x:f>IF(G28="",0,LEN(G28&amp;"")-LEN(SUBSTITUTE(G28&amp;"",CHAR(10),""))+1)</x:f>
        <x:v>0</x:v>
      </x:c>
      <x:c r="I28" s="23" t="str"/>
      <x:c r="J28" s="23" t="str">
        <x:v>No developed-article link recorded</x:v>
      </x:c>
      <x:c r="K28" s="23" t="str">
        <x:v>Not inferred</x:v>
      </x:c>
      <x:c r="L28" s="34" t="str">
        <x:v>3f1cff2fd59d19bc778ec06aa786481f584cdbca75469d6e9adf01d40ee7a037</x:v>
      </x:c>
      <x:c r="M28" s="32" t="n">
        <x:v>87911</x:v>
      </x:c>
      <x:c r="N28" s="23" t="str">
        <x:v>https://v5ma.github.io/theology-wiki/san-reader.html?page=antichrist-and-ridiculous-claims</x:v>
      </x:c>
    </x:row>
    <x:row r="29" ht="56" customHeight="1">
      <x:c r="A29" s="23" t="str">
        <x:v>Antichrist Covenant and Peace</x:v>
      </x:c>
      <x:c r="B29" s="23" t="str">
        <x:v>gpt2026dragon1271_Antichrist_Covenant_and_Peace.txt</x:v>
      </x:c>
      <x:c r="C29" s="23" t="str">
        <x:v>2025-04-07</x:v>
      </x:c>
      <x:c r="D29" s="23" t="n">
        <x:v>8</x:v>
      </x:c>
      <x:c r="E29" s="23" t="str"/>
      <x:c r="F29" s="23" t="n">
        <x:f>IF(E29="",0,LEN(E29)-LEN(SUBSTITUTE(E29,CHAR(10),""))+1)</x:f>
        <x:v>0</x:v>
      </x:c>
      <x:c r="G29" s="23" t="str"/>
      <x:c r="H29" s="23" t="n">
        <x:f>IF(G29="",0,LEN(G29&amp;"")-LEN(SUBSTITUTE(G29&amp;"",CHAR(10),""))+1)</x:f>
        <x:v>0</x:v>
      </x:c>
      <x:c r="I29" s="23" t="str"/>
      <x:c r="J29" s="23" t="str">
        <x:v>No developed-article link recorded</x:v>
      </x:c>
      <x:c r="K29" s="23" t="str">
        <x:v>Not inferred</x:v>
      </x:c>
      <x:c r="L29" s="34" t="str">
        <x:v>660b1feedf4e53e023e1cdc06c857e363a7aff732b32673ee80ddb26188931c2</x:v>
      </x:c>
      <x:c r="M29" s="32" t="n">
        <x:v>9011</x:v>
      </x:c>
      <x:c r="N29" s="23" t="str">
        <x:v>https://v5ma.github.io/theology-wiki/san-reader.html?page=antichrist-covenant-and-peace</x:v>
      </x:c>
    </x:row>
    <x:row r="30" ht="56" customHeight="1">
      <x:c r="A30" s="23" t="str">
        <x:v>Antichrist Middle East Myth</x:v>
      </x:c>
      <x:c r="B30" s="23" t="str">
        <x:v>gpt2026dragon2995_Antichrist_Middle_East_Myth.txt</x:v>
      </x:c>
      <x:c r="C30" s="23" t="str">
        <x:v>2026-01-18</x:v>
      </x:c>
      <x:c r="D30" s="23" t="n">
        <x:v>18</x:v>
      </x:c>
      <x:c r="E30" s="23" t="str"/>
      <x:c r="F30" s="23" t="n">
        <x:f>IF(E30="",0,LEN(E30)-LEN(SUBSTITUTE(E30,CHAR(10),""))+1)</x:f>
        <x:v>0</x:v>
      </x:c>
      <x:c r="G30" s="23" t="str"/>
      <x:c r="H30" s="23" t="n">
        <x:f>IF(G30="",0,LEN(G30&amp;"")-LEN(SUBSTITUTE(G30&amp;"",CHAR(10),""))+1)</x:f>
        <x:v>0</x:v>
      </x:c>
      <x:c r="I30" s="23" t="str"/>
      <x:c r="J30" s="23" t="str">
        <x:v>No developed-article link recorded</x:v>
      </x:c>
      <x:c r="K30" s="23" t="str">
        <x:v>Not inferred</x:v>
      </x:c>
      <x:c r="L30" s="34" t="str">
        <x:v>d553544a75625f7477420ce49438b2c1781415bc84d6c8f8edf14ec4163df7e7</x:v>
      </x:c>
      <x:c r="M30" s="32" t="n">
        <x:v>18772</x:v>
      </x:c>
      <x:c r="N30" s="23" t="str">
        <x:v>https://v5ma.github.io/theology-wiki/san-reader.html?page=antichrist-middle-east-myth</x:v>
      </x:c>
    </x:row>
    <x:row r="31" ht="56" customHeight="1">
      <x:c r="A31" s="23" t="str">
        <x:v>Antichrist Peace and War</x:v>
      </x:c>
      <x:c r="B31" s="23" t="str">
        <x:v>gpt2026dragon1375_Antichrist_Peace_and_War.txt</x:v>
      </x:c>
      <x:c r="C31" s="23" t="str">
        <x:v>2025-04-26</x:v>
      </x:c>
      <x:c r="D31" s="23" t="n">
        <x:v>7</x:v>
      </x:c>
      <x:c r="E31" s="23" t="str"/>
      <x:c r="F31" s="23" t="n">
        <x:f>IF(E31="",0,LEN(E31)-LEN(SUBSTITUTE(E31,CHAR(10),""))+1)</x:f>
        <x:v>0</x:v>
      </x:c>
      <x:c r="G31" s="23" t="str"/>
      <x:c r="H31" s="23" t="n">
        <x:f>IF(G31="",0,LEN(G31&amp;"")-LEN(SUBSTITUTE(G31&amp;"",CHAR(10),""))+1)</x:f>
        <x:v>0</x:v>
      </x:c>
      <x:c r="I31" s="23" t="str"/>
      <x:c r="J31" s="23" t="str">
        <x:v>No developed-article link recorded</x:v>
      </x:c>
      <x:c r="K31" s="23" t="str">
        <x:v>Not inferred</x:v>
      </x:c>
      <x:c r="L31" s="34" t="str">
        <x:v>05e7d1ef5df4abca3703ed3aaa4e272371f34a6c17700e2c723f4cc867cfe371</x:v>
      </x:c>
      <x:c r="M31" s="32" t="n">
        <x:v>13170</x:v>
      </x:c>
      <x:c r="N31" s="23" t="str">
        <x:v>https://v5ma.github.io/theology-wiki/san-reader.html?page=antichrist-peace-and-war</x:v>
      </x:c>
    </x:row>
    <x:row r="32" ht="56" customHeight="1">
      <x:c r="A32" s="23" t="str">
        <x:v>Antichrist Prophecy and War</x:v>
      </x:c>
      <x:c r="B32" s="23" t="str">
        <x:v>gpt2026dragon1302_Antichrist_Prophecy_and_War.txt</x:v>
      </x:c>
      <x:c r="C32" s="23" t="str">
        <x:v>2025-04-13</x:v>
      </x:c>
      <x:c r="D32" s="23" t="n">
        <x:v>4</x:v>
      </x:c>
      <x:c r="E32" s="23" t="str"/>
      <x:c r="F32" s="23" t="n">
        <x:f>IF(E32="",0,LEN(E32)-LEN(SUBSTITUTE(E32,CHAR(10),""))+1)</x:f>
        <x:v>0</x:v>
      </x:c>
      <x:c r="G32" s="23" t="str"/>
      <x:c r="H32" s="23" t="n">
        <x:f>IF(G32="",0,LEN(G32&amp;"")-LEN(SUBSTITUTE(G32&amp;"",CHAR(10),""))+1)</x:f>
        <x:v>0</x:v>
      </x:c>
      <x:c r="I32" s="23" t="str"/>
      <x:c r="J32" s="23" t="str">
        <x:v>No developed-article link recorded</x:v>
      </x:c>
      <x:c r="K32" s="23" t="str">
        <x:v>Not inferred</x:v>
      </x:c>
      <x:c r="L32" s="34" t="str">
        <x:v>38a465ee5176fbc7618334474d8c4477da2e8cdd28a20b9d328aba9e82749a2d</x:v>
      </x:c>
      <x:c r="M32" s="32" t="n">
        <x:v>7321</x:v>
      </x:c>
      <x:c r="N32" s="23" t="str">
        <x:v>https://v5ma.github.io/theology-wiki/san-reader.html?page=antichrist-prophecy-and-war</x:v>
      </x:c>
    </x:row>
    <x:row r="33" ht="56" customHeight="1">
      <x:c r="A33" s="23" t="str">
        <x:v>Antichrist prophecy in Tanakh</x:v>
      </x:c>
      <x:c r="B33" s="23" t="str">
        <x:v>gpt2026dragon2747_Antichrist_prophecy_in_Tanakh.txt</x:v>
      </x:c>
      <x:c r="C33" s="23" t="str">
        <x:v>2025-11-09</x:v>
      </x:c>
      <x:c r="D33" s="23" t="n">
        <x:v>5</x:v>
      </x:c>
      <x:c r="E33" s="23" t="str"/>
      <x:c r="F33" s="23" t="n">
        <x:f>IF(E33="",0,LEN(E33)-LEN(SUBSTITUTE(E33,CHAR(10),""))+1)</x:f>
        <x:v>0</x:v>
      </x:c>
      <x:c r="G33" s="23" t="str"/>
      <x:c r="H33" s="23" t="n">
        <x:f>IF(G33="",0,LEN(G33&amp;"")-LEN(SUBSTITUTE(G33&amp;"",CHAR(10),""))+1)</x:f>
        <x:v>0</x:v>
      </x:c>
      <x:c r="I33" s="23" t="str"/>
      <x:c r="J33" s="23" t="str">
        <x:v>No developed-article link recorded</x:v>
      </x:c>
      <x:c r="K33" s="23" t="str">
        <x:v>Not inferred</x:v>
      </x:c>
      <x:c r="L33" s="34" t="str">
        <x:v>ac28dd6873df97cffb8443151f5979fa3b3f37ec1df23f7fa3b5b10541840cf6</x:v>
      </x:c>
      <x:c r="M33" s="32" t="n">
        <x:v>17175</x:v>
      </x:c>
      <x:c r="N33" s="23" t="str">
        <x:v>https://v5ma.github.io/theology-wiki/san-reader.html?page=antichrist-prophecy-in-tanakh</x:v>
      </x:c>
    </x:row>
    <x:row r="34" ht="56" customHeight="1">
      <x:c r="A34" s="23" t="str">
        <x:v>Antichrist salvation discussions</x:v>
      </x:c>
      <x:c r="B34" s="23" t="str">
        <x:v>gpt2026dragon2243_Antichrist_salvation_discussions.txt</x:v>
      </x:c>
      <x:c r="C34" s="23" t="str">
        <x:v>2025-08-28</x:v>
      </x:c>
      <x:c r="D34" s="23" t="n">
        <x:v>2</x:v>
      </x:c>
      <x:c r="E34" s="23" t="str"/>
      <x:c r="F34" s="23" t="n">
        <x:f>IF(E34="",0,LEN(E34)-LEN(SUBSTITUTE(E34,CHAR(10),""))+1)</x:f>
        <x:v>0</x:v>
      </x:c>
      <x:c r="G34" s="23" t="str"/>
      <x:c r="H34" s="23" t="n">
        <x:f>IF(G34="",0,LEN(G34&amp;"")-LEN(SUBSTITUTE(G34&amp;"",CHAR(10),""))+1)</x:f>
        <x:v>0</x:v>
      </x:c>
      <x:c r="I34" s="23" t="str"/>
      <x:c r="J34" s="23" t="str">
        <x:v>No developed-article link recorded</x:v>
      </x:c>
      <x:c r="K34" s="23" t="str">
        <x:v>Not inferred</x:v>
      </x:c>
      <x:c r="L34" s="34" t="str">
        <x:v>866bf2ca5825308c25a1295bef786a93bdd3ca08889ac6ec23069926c161f343</x:v>
      </x:c>
      <x:c r="M34" s="32" t="n">
        <x:v>3869</x:v>
      </x:c>
      <x:c r="N34" s="23" t="str">
        <x:v>https://v5ma.github.io/theology-wiki/san-reader.html?page=antichrist-salvation-discussions</x:v>
      </x:c>
    </x:row>
    <x:row r="35" ht="56" customHeight="1">
      <x:c r="A35" s="23" t="str">
        <x:v>Antichrist Spiritual Inversion</x:v>
      </x:c>
      <x:c r="B35" s="23" t="str">
        <x:v>gpt2026dragon1081_Antichrist_Spiritual_Inversion.txt</x:v>
      </x:c>
      <x:c r="C35" s="23" t="str">
        <x:v>2025-03-09</x:v>
      </x:c>
      <x:c r="D35" s="23" t="n">
        <x:v>16</x:v>
      </x:c>
      <x:c r="E35" s="23" t="str">
        <x:v>cognitive-gnosticism
christ-as-an-inner-model
antichrist-as-a-pattern-of-conduct
faith-as-deliberate-joy</x:v>
      </x:c>
      <x:c r="F35" s="23" t="n">
        <x:f>IF(E35="",0,LEN(E35)-LEN(SUBSTITUTE(E35,CHAR(10),""))+1)</x:f>
        <x:v>4</x:v>
      </x:c>
      <x:c r="G35" s="23" t="str"/>
      <x:c r="H35" s="23" t="n">
        <x:f>IF(G35="",0,LEN(G35&amp;"")-LEN(SUBSTITUTE(G35&amp;"",CHAR(10),""))+1)</x:f>
        <x:v>0</x:v>
      </x:c>
      <x:c r="I35" s="23" t="str">
        <x:v>gnosis
inner-model
faith
will</x:v>
      </x:c>
      <x:c r="J35" s="23" t="str">
        <x:v>Linked to developed article</x:v>
      </x:c>
      <x:c r="K35" s="23" t="str">
        <x:v>Not inferred</x:v>
      </x:c>
      <x:c r="L35" s="34" t="str">
        <x:v>43f1ccdb86688a5042265141521a285d06c799687ce67c2e436526545c73299f</x:v>
      </x:c>
      <x:c r="M35" s="32" t="n">
        <x:v>34202</x:v>
      </x:c>
      <x:c r="N35" s="23" t="str">
        <x:v>https://v5ma.github.io/theology-wiki/san-reader.html?page=antichrist-spiritual-inversion</x:v>
      </x:c>
    </x:row>
    <x:row r="36" ht="56" customHeight="1">
      <x:c r="A36" s="23" t="str">
        <x:v>Anunnaki Alien Theory Rejected</x:v>
      </x:c>
      <x:c r="B36" s="23" t="str">
        <x:v>gpt2026dragon1573_Anunnaki_Alien_Theory_Rejected.txt</x:v>
      </x:c>
      <x:c r="C36" s="23" t="str">
        <x:v>2025-05-27</x:v>
      </x:c>
      <x:c r="D36" s="23" t="n">
        <x:v>36</x:v>
      </x:c>
      <x:c r="E36" s="23" t="str"/>
      <x:c r="F36" s="23" t="n">
        <x:f>IF(E36="",0,LEN(E36)-LEN(SUBSTITUTE(E36,CHAR(10),""))+1)</x:f>
        <x:v>0</x:v>
      </x:c>
      <x:c r="G36" s="23" t="str"/>
      <x:c r="H36" s="23" t="n">
        <x:f>IF(G36="",0,LEN(G36&amp;"")-LEN(SUBSTITUTE(G36&amp;"",CHAR(10),""))+1)</x:f>
        <x:v>0</x:v>
      </x:c>
      <x:c r="I36" s="23" t="str"/>
      <x:c r="J36" s="23" t="str">
        <x:v>No developed-article link recorded</x:v>
      </x:c>
      <x:c r="K36" s="23" t="str">
        <x:v>Not inferred</x:v>
      </x:c>
      <x:c r="L36" s="34" t="str">
        <x:v>c2989c06812ef87563612cc2df2adf556f19b455d997b67ef3b4e709ccfbf79d</x:v>
      </x:c>
      <x:c r="M36" s="32" t="n">
        <x:v>68272</x:v>
      </x:c>
      <x:c r="N36" s="23" t="str">
        <x:v>https://v5ma.github.io/theology-wiki/san-reader.html?page=anunnaki-alien-theory-rejected</x:v>
      </x:c>
    </x:row>
    <x:row r="37" ht="56" customHeight="1">
      <x:c r="A37" s="23" t="str">
        <x:v>Apocalipsis y nueva humanidad</x:v>
      </x:c>
      <x:c r="B37" s="23" t="str">
        <x:v>gpt2026dragon1248_Apocalipsis_y_nueva_humanidad.txt</x:v>
      </x:c>
      <x:c r="C37" s="23" t="str">
        <x:v>2025-04-01</x:v>
      </x:c>
      <x:c r="D37" s="23" t="n">
        <x:v>105</x:v>
      </x:c>
      <x:c r="E37" s="23" t="str"/>
      <x:c r="F37" s="23" t="n">
        <x:f>IF(E37="",0,LEN(E37)-LEN(SUBSTITUTE(E37,CHAR(10),""))+1)</x:f>
        <x:v>0</x:v>
      </x:c>
      <x:c r="G37" s="23" t="str"/>
      <x:c r="H37" s="23" t="n">
        <x:f>IF(G37="",0,LEN(G37&amp;"")-LEN(SUBSTITUTE(G37&amp;"",CHAR(10),""))+1)</x:f>
        <x:v>0</x:v>
      </x:c>
      <x:c r="I37" s="23" t="str"/>
      <x:c r="J37" s="23" t="str">
        <x:v>No developed-article link recorded</x:v>
      </x:c>
      <x:c r="K37" s="23" t="str">
        <x:v>Not inferred</x:v>
      </x:c>
      <x:c r="L37" s="34" t="str">
        <x:v>afbf801092258a8ae6f240ee99b40dc4ef6b2625d1a380326358ab8420aa8005</x:v>
      </x:c>
      <x:c r="M37" s="32" t="n">
        <x:v>85371</x:v>
      </x:c>
      <x:c r="N37" s="23" t="str">
        <x:v>https://v5ma.github.io/theology-wiki/san-reader.html?page=apocalipsis-y-nueva-humanidad</x:v>
      </x:c>
    </x:row>
    <x:row r="38" ht="56" customHeight="1">
      <x:c r="A38" s="23" t="str">
        <x:v>Apocalypse of Adam Outline</x:v>
      </x:c>
      <x:c r="B38" s="23" t="str">
        <x:v>gpt2026dragon1413_Apocalypse_of_Adam_Outline.txt</x:v>
      </x:c>
      <x:c r="C38" s="23" t="str">
        <x:v>2025-04-30</x:v>
      </x:c>
      <x:c r="D38" s="23" t="n">
        <x:v>23</x:v>
      </x:c>
      <x:c r="E38" s="23" t="str"/>
      <x:c r="F38" s="23" t="n">
        <x:f>IF(E38="",0,LEN(E38)-LEN(SUBSTITUTE(E38,CHAR(10),""))+1)</x:f>
        <x:v>0</x:v>
      </x:c>
      <x:c r="G38" s="23" t="str"/>
      <x:c r="H38" s="23" t="n">
        <x:f>IF(G38="",0,LEN(G38&amp;"")-LEN(SUBSTITUTE(G38&amp;"",CHAR(10),""))+1)</x:f>
        <x:v>0</x:v>
      </x:c>
      <x:c r="I38" s="23" t="str"/>
      <x:c r="J38" s="23" t="str">
        <x:v>No developed-article link recorded</x:v>
      </x:c>
      <x:c r="K38" s="23" t="str">
        <x:v>Not inferred</x:v>
      </x:c>
      <x:c r="L38" s="34" t="str">
        <x:v>5c9acf25da11c695e1f0f1b4c93e9571db239948831eb28e11698e860af418cc</x:v>
      </x:c>
      <x:c r="M38" s="32" t="n">
        <x:v>26917</x:v>
      </x:c>
      <x:c r="N38" s="23" t="str">
        <x:v>https://v5ma.github.io/theology-wiki/san-reader.html?page=apocalypse-of-adam-outline</x:v>
      </x:c>
    </x:row>
    <x:row r="39" ht="56" customHeight="1">
      <x:c r="A39" s="23" t="str">
        <x:v>Apocalypse of Peter comparison</x:v>
      </x:c>
      <x:c r="B39" s="23" t="str">
        <x:v>gpt2026dragon2695_Apocalypse_of_Peter_comparison.txt</x:v>
      </x:c>
      <x:c r="C39" s="23" t="str">
        <x:v>2025-10-28</x:v>
      </x:c>
      <x:c r="D39" s="23" t="n">
        <x:v>72</x:v>
      </x:c>
      <x:c r="E39" s="23" t="str"/>
      <x:c r="F39" s="23" t="n">
        <x:f>IF(E39="",0,LEN(E39)-LEN(SUBSTITUTE(E39,CHAR(10),""))+1)</x:f>
        <x:v>0</x:v>
      </x:c>
      <x:c r="G39" s="23" t="str"/>
      <x:c r="H39" s="23" t="n">
        <x:f>IF(G39="",0,LEN(G39&amp;"")-LEN(SUBSTITUTE(G39&amp;"",CHAR(10),""))+1)</x:f>
        <x:v>0</x:v>
      </x:c>
      <x:c r="I39" s="23" t="str"/>
      <x:c r="J39" s="23" t="str">
        <x:v>No developed-article link recorded</x:v>
      </x:c>
      <x:c r="K39" s="23" t="str">
        <x:v>Not inferred</x:v>
      </x:c>
      <x:c r="L39" s="34" t="str">
        <x:v>3766709c3fbd4f5ca7e8e9868906cfd4470b13fc1a8c168c31c6fc577adeab4f</x:v>
      </x:c>
      <x:c r="M39" s="32" t="n">
        <x:v>126100</x:v>
      </x:c>
      <x:c r="N39" s="23" t="str">
        <x:v>https://v5ma.github.io/theology-wiki/san-reader.html?page=apocalypse-of-peter-comparison</x:v>
      </x:c>
    </x:row>
    <x:row r="40" ht="56" customHeight="1">
      <x:c r="A40" s="23" t="str">
        <x:v>Article review feedback</x:v>
      </x:c>
      <x:c r="B40" s="23" t="str">
        <x:v>gpt2026dragon2126_Article_review_feedback.txt</x:v>
      </x:c>
      <x:c r="C40" s="23" t="str">
        <x:v>2025-08-16</x:v>
      </x:c>
      <x:c r="D40" s="23" t="n">
        <x:v>13</x:v>
      </x:c>
      <x:c r="E40" s="23" t="str"/>
      <x:c r="F40" s="23" t="n">
        <x:f>IF(E40="",0,LEN(E40)-LEN(SUBSTITUTE(E40,CHAR(10),""))+1)</x:f>
        <x:v>0</x:v>
      </x:c>
      <x:c r="G40" s="23" t="str"/>
      <x:c r="H40" s="23" t="n">
        <x:f>IF(G40="",0,LEN(G40&amp;"")-LEN(SUBSTITUTE(G40&amp;"",CHAR(10),""))+1)</x:f>
        <x:v>0</x:v>
      </x:c>
      <x:c r="I40" s="23" t="str"/>
      <x:c r="J40" s="23" t="str">
        <x:v>No developed-article link recorded</x:v>
      </x:c>
      <x:c r="K40" s="23" t="str">
        <x:v>Not inferred</x:v>
      </x:c>
      <x:c r="L40" s="34" t="str">
        <x:v>d9f568e5c4c545382ce81bc42675d619f9870253ba2aaf1793c4c5d9e0bfbfdd</x:v>
      </x:c>
      <x:c r="M40" s="32" t="n">
        <x:v>22909</x:v>
      </x:c>
      <x:c r="N40" s="23" t="str">
        <x:v>https://v5ma.github.io/theology-wiki/san-reader.html?page=article-review-feedback</x:v>
      </x:c>
    </x:row>
    <x:row r="41" ht="56" customHeight="1">
      <x:c r="A41" s="23" t="str">
        <x:v>Assyrian and Antichrist connection</x:v>
      </x:c>
      <x:c r="B41" s="23" t="str">
        <x:v>gpt2026dragon2664_Assyrian_and_Antichrist_connection.txt</x:v>
      </x:c>
      <x:c r="C41" s="23" t="str">
        <x:v>2025-10-21</x:v>
      </x:c>
      <x:c r="D41" s="23" t="n">
        <x:v>17</x:v>
      </x:c>
      <x:c r="E41" s="23" t="str"/>
      <x:c r="F41" s="23" t="n">
        <x:f>IF(E41="",0,LEN(E41)-LEN(SUBSTITUTE(E41,CHAR(10),""))+1)</x:f>
        <x:v>0</x:v>
      </x:c>
      <x:c r="G41" s="23" t="str"/>
      <x:c r="H41" s="23" t="n">
        <x:f>IF(G41="",0,LEN(G41&amp;"")-LEN(SUBSTITUTE(G41&amp;"",CHAR(10),""))+1)</x:f>
        <x:v>0</x:v>
      </x:c>
      <x:c r="I41" s="23" t="str"/>
      <x:c r="J41" s="23" t="str">
        <x:v>No developed-article link recorded</x:v>
      </x:c>
      <x:c r="K41" s="23" t="str">
        <x:v>Not inferred</x:v>
      </x:c>
      <x:c r="L41" s="34" t="str">
        <x:v>568ddef0889cede39c5b223330ca896c11ffec71615ce9438fbace033ea921c9</x:v>
      </x:c>
      <x:c r="M41" s="32" t="n">
        <x:v>32533</x:v>
      </x:c>
      <x:c r="N41" s="23" t="str">
        <x:v>https://v5ma.github.io/theology-wiki/san-reader.html?page=assyrian-and-antichrist-connection</x:v>
      </x:c>
    </x:row>
    <x:row r="42" ht="56" customHeight="1">
      <x:c r="A42" s="23" t="str">
        <x:v>Authoritarian Threats to Democracy</x:v>
      </x:c>
      <x:c r="B42" s="23" t="str">
        <x:v>gpt2026dragon1017_Authoritarian_Threats_to_Democracy.txt</x:v>
      </x:c>
      <x:c r="C42" s="23" t="str">
        <x:v>2025-03-01</x:v>
      </x:c>
      <x:c r="D42" s="23" t="n">
        <x:v>7</x:v>
      </x:c>
      <x:c r="E42" s="23" t="str"/>
      <x:c r="F42" s="23" t="n">
        <x:f>IF(E42="",0,LEN(E42)-LEN(SUBSTITUTE(E42,CHAR(10),""))+1)</x:f>
        <x:v>0</x:v>
      </x:c>
      <x:c r="G42" s="23" t="str"/>
      <x:c r="H42" s="23" t="n">
        <x:f>IF(G42="",0,LEN(G42&amp;"")-LEN(SUBSTITUTE(G42&amp;"",CHAR(10),""))+1)</x:f>
        <x:v>0</x:v>
      </x:c>
      <x:c r="I42" s="23" t="str"/>
      <x:c r="J42" s="23" t="str">
        <x:v>No developed-article link recorded</x:v>
      </x:c>
      <x:c r="K42" s="23" t="str">
        <x:v>Not inferred</x:v>
      </x:c>
      <x:c r="L42" s="34" t="str">
        <x:v>43bd96e3d9e60dd61947f67a9bb651ea3e75a08070092f6de9476bcf81255ed9</x:v>
      </x:c>
      <x:c r="M42" s="32" t="n">
        <x:v>10774</x:v>
      </x:c>
      <x:c r="N42" s="23" t="str">
        <x:v>https://v5ma.github.io/theology-wiki/san-reader.html?page=authoritarian-threats-to-democracy</x:v>
      </x:c>
    </x:row>
    <x:row r="43" ht="56" customHeight="1">
      <x:c r="A43" s="23" t="str">
        <x:v>Authoritarianism and False Democracy</x:v>
      </x:c>
      <x:c r="B43" s="23" t="str">
        <x:v>gpt2026dragon1449_Authoritarianism_and_False_Democracy.txt</x:v>
      </x:c>
      <x:c r="C43" s="23" t="str">
        <x:v>2025-05-07</x:v>
      </x:c>
      <x:c r="D43" s="23" t="n">
        <x:v>4</x:v>
      </x:c>
      <x:c r="E43" s="23" t="str"/>
      <x:c r="F43" s="23" t="n">
        <x:f>IF(E43="",0,LEN(E43)-LEN(SUBSTITUTE(E43,CHAR(10),""))+1)</x:f>
        <x:v>0</x:v>
      </x:c>
      <x:c r="G43" s="23" t="str"/>
      <x:c r="H43" s="23" t="n">
        <x:f>IF(G43="",0,LEN(G43&amp;"")-LEN(SUBSTITUTE(G43&amp;"",CHAR(10),""))+1)</x:f>
        <x:v>0</x:v>
      </x:c>
      <x:c r="I43" s="23" t="str"/>
      <x:c r="J43" s="23" t="str">
        <x:v>No developed-article link recorded</x:v>
      </x:c>
      <x:c r="K43" s="23" t="str">
        <x:v>Not inferred</x:v>
      </x:c>
      <x:c r="L43" s="34" t="str">
        <x:v>1356c0d3e414c4f0abac757a45df321a44f5625eb8a1263ca0a959e686ae5dbd</x:v>
      </x:c>
      <x:c r="M43" s="32" t="n">
        <x:v>8486</x:v>
      </x:c>
      <x:c r="N43" s="23" t="str">
        <x:v>https://v5ma.github.io/theology-wiki/san-reader.html?page=authoritarianism-and-false-democracy</x:v>
      </x:c>
    </x:row>
    <x:row r="44" ht="56" customHeight="1">
      <x:c r="A44" s="23" t="str">
        <x:v>Awakening to Oneness</x:v>
      </x:c>
      <x:c r="B44" s="23" t="str">
        <x:v>gpt2026dragon2679_Awakening_to_Oneness.txt</x:v>
      </x:c>
      <x:c r="C44" s="23" t="str">
        <x:v>2025-10-24</x:v>
      </x:c>
      <x:c r="D44" s="23" t="n">
        <x:v>4</x:v>
      </x:c>
      <x:c r="E44" s="23" t="str"/>
      <x:c r="F44" s="23" t="n">
        <x:f>IF(E44="",0,LEN(E44)-LEN(SUBSTITUTE(E44,CHAR(10),""))+1)</x:f>
        <x:v>0</x:v>
      </x:c>
      <x:c r="G44" s="23" t="str"/>
      <x:c r="H44" s="23" t="n">
        <x:f>IF(G44="",0,LEN(G44&amp;"")-LEN(SUBSTITUTE(G44&amp;"",CHAR(10),""))+1)</x:f>
        <x:v>0</x:v>
      </x:c>
      <x:c r="I44" s="23" t="str"/>
      <x:c r="J44" s="23" t="str">
        <x:v>No developed-article link recorded</x:v>
      </x:c>
      <x:c r="K44" s="23" t="str">
        <x:v>Not inferred</x:v>
      </x:c>
      <x:c r="L44" s="34" t="str">
        <x:v>9cc67e990296b249a39e5e8809657018f0675e546ff999d7b50165cc7f3890c2</x:v>
      </x:c>
      <x:c r="M44" s="32" t="n">
        <x:v>5192</x:v>
      </x:c>
      <x:c r="N44" s="23" t="str">
        <x:v>https://v5ma.github.io/theology-wiki/san-reader.html?page=awakening-to-oneness</x:v>
      </x:c>
    </x:row>
    <x:row r="45" ht="56" customHeight="1">
      <x:c r="A45" s="23" t="str">
        <x:v>Barnabas gospel debunked</x:v>
      </x:c>
      <x:c r="B45" s="23" t="str">
        <x:v>gpt2026dragon2372_Barnabas_gospel_debunked.txt</x:v>
      </x:c>
      <x:c r="C45" s="23" t="str">
        <x:v>2025-09-12</x:v>
      </x:c>
      <x:c r="D45" s="23" t="n">
        <x:v>3</x:v>
      </x:c>
      <x:c r="E45" s="23" t="str"/>
      <x:c r="F45" s="23" t="n">
        <x:f>IF(E45="",0,LEN(E45)-LEN(SUBSTITUTE(E45,CHAR(10),""))+1)</x:f>
        <x:v>0</x:v>
      </x:c>
      <x:c r="G45" s="23" t="str"/>
      <x:c r="H45" s="23" t="n">
        <x:f>IF(G45="",0,LEN(G45&amp;"")-LEN(SUBSTITUTE(G45&amp;"",CHAR(10),""))+1)</x:f>
        <x:v>0</x:v>
      </x:c>
      <x:c r="I45" s="23" t="str"/>
      <x:c r="J45" s="23" t="str">
        <x:v>No developed-article link recorded</x:v>
      </x:c>
      <x:c r="K45" s="23" t="str">
        <x:v>Not inferred</x:v>
      </x:c>
      <x:c r="L45" s="34" t="str">
        <x:v>8ec901a27f8f40c1e3afd6f97ed68b03350e12ff068d2037a96390664552936b</x:v>
      </x:c>
      <x:c r="M45" s="32" t="n">
        <x:v>8475</x:v>
      </x:c>
      <x:c r="N45" s="23" t="str">
        <x:v>https://v5ma.github.io/theology-wiki/san-reader.html?page=barnabas-gospel-debunked</x:v>
      </x:c>
    </x:row>
    <x:row r="46" ht="56" customHeight="1">
      <x:c r="A46" s="23" t="str">
        <x:v>Beasts and trumpets symbolism</x:v>
      </x:c>
      <x:c r="B46" s="23" t="str">
        <x:v>gpt2026dragon2676_Beasts_and_trumpets_symbolism.txt</x:v>
      </x:c>
      <x:c r="C46" s="23" t="str">
        <x:v>2025-10-23</x:v>
      </x:c>
      <x:c r="D46" s="23" t="n">
        <x:v>27</x:v>
      </x:c>
      <x:c r="E46" s="23" t="str"/>
      <x:c r="F46" s="23" t="n">
        <x:f>IF(E46="",0,LEN(E46)-LEN(SUBSTITUTE(E46,CHAR(10),""))+1)</x:f>
        <x:v>0</x:v>
      </x:c>
      <x:c r="G46" s="23" t="str"/>
      <x:c r="H46" s="23" t="n">
        <x:f>IF(G46="",0,LEN(G46&amp;"")-LEN(SUBSTITUTE(G46&amp;"",CHAR(10),""))+1)</x:f>
        <x:v>0</x:v>
      </x:c>
      <x:c r="I46" s="23" t="str"/>
      <x:c r="J46" s="23" t="str">
        <x:v>No developed-article link recorded</x:v>
      </x:c>
      <x:c r="K46" s="23" t="str">
        <x:v>Not inferred</x:v>
      </x:c>
      <x:c r="L46" s="34" t="str">
        <x:v>e4c9c01a80e002e8e3207d005e48dd752028dea9e2e610e6478475dfe9e6f723</x:v>
      </x:c>
      <x:c r="M46" s="32" t="n">
        <x:v>70046</x:v>
      </x:c>
      <x:c r="N46" s="23" t="str">
        <x:v>https://v5ma.github.io/theology-wiki/san-reader.html?page=beasts-and-trumpets-symbolism</x:v>
      </x:c>
    </x:row>
    <x:row r="47" ht="56" customHeight="1">
      <x:c r="A47" s="23" t="str">
        <x:v>Beloved Disciple Identity</x:v>
      </x:c>
      <x:c r="B47" s="23" t="str">
        <x:v>gpt2026dragon1666_Beloved_Disciple_Identity.txt</x:v>
      </x:c>
      <x:c r="C47" s="23" t="str">
        <x:v>2025-06-12</x:v>
      </x:c>
      <x:c r="D47" s="23" t="n">
        <x:v>2</x:v>
      </x:c>
      <x:c r="E47" s="23" t="str"/>
      <x:c r="F47" s="23" t="n">
        <x:f>IF(E47="",0,LEN(E47)-LEN(SUBSTITUTE(E47,CHAR(10),""))+1)</x:f>
        <x:v>0</x:v>
      </x:c>
      <x:c r="G47" s="23" t="str"/>
      <x:c r="H47" s="23" t="n">
        <x:f>IF(G47="",0,LEN(G47&amp;"")-LEN(SUBSTITUTE(G47&amp;"",CHAR(10),""))+1)</x:f>
        <x:v>0</x:v>
      </x:c>
      <x:c r="I47" s="23" t="str"/>
      <x:c r="J47" s="23" t="str">
        <x:v>No developed-article link recorded</x:v>
      </x:c>
      <x:c r="K47" s="23" t="str">
        <x:v>Not inferred</x:v>
      </x:c>
      <x:c r="L47" s="34" t="str">
        <x:v>f1c15a45abda9944091c4eb111d2a5efa430f599c6cf2b5f2c48780edd16d0ef</x:v>
      </x:c>
      <x:c r="M47" s="32" t="n">
        <x:v>3301</x:v>
      </x:c>
      <x:c r="N47" s="23" t="str">
        <x:v>https://v5ma.github.io/theology-wiki/san-reader.html?page=beloved-disciple-identity</x:v>
      </x:c>
    </x:row>
    <x:row r="48" ht="56" customHeight="1">
      <x:c r="A48" s="23" t="str">
        <x:v>Bible Interpretation and Faith</x:v>
      </x:c>
      <x:c r="B48" s="23" t="str">
        <x:v>gpt2026dragon1240_Bible_Interpretation_and_Faith.txt</x:v>
      </x:c>
      <x:c r="C48" s="23" t="str">
        <x:v>2025-03-30</x:v>
      </x:c>
      <x:c r="D48" s="23" t="n">
        <x:v>19</x:v>
      </x:c>
      <x:c r="E48" s="23" t="str"/>
      <x:c r="F48" s="23" t="n">
        <x:f>IF(E48="",0,LEN(E48)-LEN(SUBSTITUTE(E48,CHAR(10),""))+1)</x:f>
        <x:v>0</x:v>
      </x:c>
      <x:c r="G48" s="23" t="str"/>
      <x:c r="H48" s="23" t="n">
        <x:f>IF(G48="",0,LEN(G48&amp;"")-LEN(SUBSTITUTE(G48&amp;"",CHAR(10),""))+1)</x:f>
        <x:v>0</x:v>
      </x:c>
      <x:c r="I48" s="23" t="str"/>
      <x:c r="J48" s="23" t="str">
        <x:v>No developed-article link recorded</x:v>
      </x:c>
      <x:c r="K48" s="23" t="str">
        <x:v>Not inferred</x:v>
      </x:c>
      <x:c r="L48" s="34" t="str">
        <x:v>5b7223eb0c4102d52496f34cbaf2787a0d802a7421f03fe8712e10ae62b98fd8</x:v>
      </x:c>
      <x:c r="M48" s="32" t="n">
        <x:v>63402</x:v>
      </x:c>
      <x:c r="N48" s="23" t="str">
        <x:v>https://v5ma.github.io/theology-wiki/san-reader.html?page=bible-interpretation-and-faith</x:v>
      </x:c>
    </x:row>
    <x:row r="49" ht="56" customHeight="1">
      <x:c r="A49" s="23" t="str">
        <x:v>Bible passage on deception</x:v>
      </x:c>
      <x:c r="B49" s="23" t="str">
        <x:v>gpt2026dragon3158_Bible_passage_on_deception.txt</x:v>
      </x:c>
      <x:c r="C49" s="23" t="str">
        <x:v>2026-03-11</x:v>
      </x:c>
      <x:c r="D49" s="23" t="n">
        <x:v>2</x:v>
      </x:c>
      <x:c r="E49" s="23" t="str"/>
      <x:c r="F49" s="23" t="n">
        <x:f>IF(E49="",0,LEN(E49)-LEN(SUBSTITUTE(E49,CHAR(10),""))+1)</x:f>
        <x:v>0</x:v>
      </x:c>
      <x:c r="G49" s="23" t="str"/>
      <x:c r="H49" s="23" t="n">
        <x:f>IF(G49="",0,LEN(G49&amp;"")-LEN(SUBSTITUTE(G49&amp;"",CHAR(10),""))+1)</x:f>
        <x:v>0</x:v>
      </x:c>
      <x:c r="I49" s="23" t="str"/>
      <x:c r="J49" s="23" t="str">
        <x:v>No developed-article link recorded</x:v>
      </x:c>
      <x:c r="K49" s="23" t="str">
        <x:v>Not inferred</x:v>
      </x:c>
      <x:c r="L49" s="34" t="str">
        <x:v>4213890ba5676a1190bc28bf1e057db17122296c2f122cc9c78c35deb7395f65</x:v>
      </x:c>
      <x:c r="M49" s="32" t="n">
        <x:v>6058</x:v>
      </x:c>
      <x:c r="N49" s="23" t="str">
        <x:v>https://v5ma.github.io/theology-wiki/san-reader.html?page=bible-passage-on-deception</x:v>
      </x:c>
    </x:row>
    <x:row r="50" ht="56" customHeight="1">
      <x:c r="A50" s="23" t="str">
        <x:v>Bible prophecy death fractions</x:v>
      </x:c>
      <x:c r="B50" s="23" t="str">
        <x:v>gpt2026dragon3071_Bible_prophecy_death_fractions.txt</x:v>
      </x:c>
      <x:c r="C50" s="23" t="str">
        <x:v>2026-02-08</x:v>
      </x:c>
      <x:c r="D50" s="23" t="n">
        <x:v>6</x:v>
      </x:c>
      <x:c r="E50" s="23" t="str"/>
      <x:c r="F50" s="23" t="n">
        <x:f>IF(E50="",0,LEN(E50)-LEN(SUBSTITUTE(E50,CHAR(10),""))+1)</x:f>
        <x:v>0</x:v>
      </x:c>
      <x:c r="G50" s="23" t="str"/>
      <x:c r="H50" s="23" t="n">
        <x:f>IF(G50="",0,LEN(G50&amp;"")-LEN(SUBSTITUTE(G50&amp;"",CHAR(10),""))+1)</x:f>
        <x:v>0</x:v>
      </x:c>
      <x:c r="I50" s="23" t="str"/>
      <x:c r="J50" s="23" t="str">
        <x:v>No developed-article link recorded</x:v>
      </x:c>
      <x:c r="K50" s="23" t="str">
        <x:v>Not inferred</x:v>
      </x:c>
      <x:c r="L50" s="34" t="str">
        <x:v>c84739f9d561cc53a03e3da4df43e653742f94707fed16fe1592c93a91cb1747</x:v>
      </x:c>
      <x:c r="M50" s="32" t="n">
        <x:v>3631</x:v>
      </x:c>
      <x:c r="N50" s="23" t="str">
        <x:v>https://v5ma.github.io/theology-wiki/san-reader.html?page=bible-prophecy-death-fractions</x:v>
      </x:c>
    </x:row>
    <x:row r="51" ht="56" customHeight="1">
      <x:c r="A51" s="23" t="str">
        <x:v>Bible text sources comparison</x:v>
      </x:c>
      <x:c r="B51" s="23" t="str">
        <x:v>gpt2026dragon2701_Bible_text_sources_comparison.txt</x:v>
      </x:c>
      <x:c r="C51" s="23" t="str">
        <x:v>2025-10-30</x:v>
      </x:c>
      <x:c r="D51" s="23" t="n">
        <x:v>17</x:v>
      </x:c>
      <x:c r="E51" s="23" t="str"/>
      <x:c r="F51" s="23" t="n">
        <x:f>IF(E51="",0,LEN(E51)-LEN(SUBSTITUTE(E51,CHAR(10),""))+1)</x:f>
        <x:v>0</x:v>
      </x:c>
      <x:c r="G51" s="23" t="str"/>
      <x:c r="H51" s="23" t="n">
        <x:f>IF(G51="",0,LEN(G51&amp;"")-LEN(SUBSTITUTE(G51&amp;"",CHAR(10),""))+1)</x:f>
        <x:v>0</x:v>
      </x:c>
      <x:c r="I51" s="23" t="str"/>
      <x:c r="J51" s="23" t="str">
        <x:v>No developed-article link recorded</x:v>
      </x:c>
      <x:c r="K51" s="23" t="str">
        <x:v>Not inferred</x:v>
      </x:c>
      <x:c r="L51" s="34" t="str">
        <x:v>b19f9f07839b68872e2794c9d784e6a7d5ab76401aa29064aba0a8f17430adad</x:v>
      </x:c>
      <x:c r="M51" s="32" t="n">
        <x:v>44743</x:v>
      </x:c>
      <x:c r="N51" s="23" t="str">
        <x:v>https://v5ma.github.io/theology-wiki/san-reader.html?page=bible-text-sources-comparison</x:v>
      </x:c>
    </x:row>
    <x:row r="52" ht="56" customHeight="1">
      <x:c r="A52" s="23" t="str">
        <x:v>Bible Verse Inspiration</x:v>
      </x:c>
      <x:c r="B52" s="23" t="str">
        <x:v>gpt2026dragon1509_Bible_Verse_Inspiration.txt</x:v>
      </x:c>
      <x:c r="C52" s="23" t="str">
        <x:v>2025-05-17</x:v>
      </x:c>
      <x:c r="D52" s="23" t="n">
        <x:v>9</x:v>
      </x:c>
      <x:c r="E52" s="23" t="str"/>
      <x:c r="F52" s="23" t="n">
        <x:f>IF(E52="",0,LEN(E52)-LEN(SUBSTITUTE(E52,CHAR(10),""))+1)</x:f>
        <x:v>0</x:v>
      </x:c>
      <x:c r="G52" s="23" t="str"/>
      <x:c r="H52" s="23" t="n">
        <x:f>IF(G52="",0,LEN(G52&amp;"")-LEN(SUBSTITUTE(G52&amp;"",CHAR(10),""))+1)</x:f>
        <x:v>0</x:v>
      </x:c>
      <x:c r="I52" s="23" t="str"/>
      <x:c r="J52" s="23" t="str">
        <x:v>No developed-article link recorded</x:v>
      </x:c>
      <x:c r="K52" s="23" t="str">
        <x:v>Not inferred</x:v>
      </x:c>
      <x:c r="L52" s="34" t="str">
        <x:v>d7fc9461ea1a02eb8fdc9f00dbad2dca9e603102f8cfd7129f71cf4b2bebfe45</x:v>
      </x:c>
      <x:c r="M52" s="32" t="n">
        <x:v>19867</x:v>
      </x:c>
      <x:c r="N52" s="23" t="str">
        <x:v>https://v5ma.github.io/theology-wiki/san-reader.html?page=bible-verse-inspiration</x:v>
      </x:c>
    </x:row>
    <x:row r="53" ht="56" customHeight="1">
      <x:c r="A53" s="23" t="str">
        <x:v>Biblical antichrist interpretation</x:v>
      </x:c>
      <x:c r="B53" s="23" t="str">
        <x:v>gpt2026dragon2680_Biblical_antichrist_interpretation.txt</x:v>
      </x:c>
      <x:c r="C53" s="23" t="str">
        <x:v>2025-10-24</x:v>
      </x:c>
      <x:c r="D53" s="23" t="n">
        <x:v>164</x:v>
      </x:c>
      <x:c r="E53" s="23" t="str"/>
      <x:c r="F53" s="23" t="n">
        <x:f>IF(E53="",0,LEN(E53)-LEN(SUBSTITUTE(E53,CHAR(10),""))+1)</x:f>
        <x:v>0</x:v>
      </x:c>
      <x:c r="G53" s="23" t="str"/>
      <x:c r="H53" s="23" t="n">
        <x:f>IF(G53="",0,LEN(G53&amp;"")-LEN(SUBSTITUTE(G53&amp;"",CHAR(10),""))+1)</x:f>
        <x:v>0</x:v>
      </x:c>
      <x:c r="I53" s="23" t="str"/>
      <x:c r="J53" s="23" t="str">
        <x:v>No developed-article link recorded</x:v>
      </x:c>
      <x:c r="K53" s="23" t="str">
        <x:v>Not inferred</x:v>
      </x:c>
      <x:c r="L53" s="34" t="str">
        <x:v>744c8abc729009e749e4c065d6bda87a9af376c041fdaa24905a721ecb7a20e8</x:v>
      </x:c>
      <x:c r="M53" s="32" t="n">
        <x:v>339264</x:v>
      </x:c>
      <x:c r="N53" s="23" t="str">
        <x:v>https://v5ma.github.io/theology-wiki/san-reader.html?page=biblical-antichrist-interpretation</x:v>
      </x:c>
    </x:row>
    <x:row r="54" ht="56" customHeight="1">
      <x:c r="A54" s="23" t="str">
        <x:v>Biblical Resurrection Interpretations</x:v>
      </x:c>
      <x:c r="B54" s="23" t="str">
        <x:v>gpt2026dragon1710_Biblical_Resurrection_Interpretations.txt</x:v>
      </x:c>
      <x:c r="C54" s="23" t="str">
        <x:v>2025-06-19</x:v>
      </x:c>
      <x:c r="D54" s="23" t="n">
        <x:v>3</x:v>
      </x:c>
      <x:c r="E54" s="23" t="str"/>
      <x:c r="F54" s="23" t="n">
        <x:f>IF(E54="",0,LEN(E54)-LEN(SUBSTITUTE(E54,CHAR(10),""))+1)</x:f>
        <x:v>0</x:v>
      </x:c>
      <x:c r="G54" s="23" t="str"/>
      <x:c r="H54" s="23" t="n">
        <x:f>IF(G54="",0,LEN(G54&amp;"")-LEN(SUBSTITUTE(G54&amp;"",CHAR(10),""))+1)</x:f>
        <x:v>0</x:v>
      </x:c>
      <x:c r="I54" s="23" t="str"/>
      <x:c r="J54" s="23" t="str">
        <x:v>No developed-article link recorded</x:v>
      </x:c>
      <x:c r="K54" s="23" t="str">
        <x:v>Not inferred</x:v>
      </x:c>
      <x:c r="L54" s="34" t="str">
        <x:v>76901f064f67c3bb4492fd79c1a25c524b7583e75204f88ed32b3f994b6e90d3</x:v>
      </x:c>
      <x:c r="M54" s="32" t="n">
        <x:v>4816</x:v>
      </x:c>
      <x:c r="N54" s="23" t="str">
        <x:v>https://v5ma.github.io/theology-wiki/san-reader.html?page=biblical-resurrection-interpretations</x:v>
      </x:c>
    </x:row>
    <x:row r="55" ht="56" customHeight="1">
      <x:c r="A55" s="23" t="str">
        <x:v>Biblical Text Timeline</x:v>
      </x:c>
      <x:c r="B55" s="23" t="str">
        <x:v>gpt2026dragon1618_Biblical_Text_Timeline.txt</x:v>
      </x:c>
      <x:c r="C55" s="23" t="str">
        <x:v>2025-06-03</x:v>
      </x:c>
      <x:c r="D55" s="23" t="n">
        <x:v>4</x:v>
      </x:c>
      <x:c r="E55" s="23" t="str"/>
      <x:c r="F55" s="23" t="n">
        <x:f>IF(E55="",0,LEN(E55)-LEN(SUBSTITUTE(E55,CHAR(10),""))+1)</x:f>
        <x:v>0</x:v>
      </x:c>
      <x:c r="G55" s="23" t="str"/>
      <x:c r="H55" s="23" t="n">
        <x:f>IF(G55="",0,LEN(G55&amp;"")-LEN(SUBSTITUTE(G55&amp;"",CHAR(10),""))+1)</x:f>
        <x:v>0</x:v>
      </x:c>
      <x:c r="I55" s="23" t="str"/>
      <x:c r="J55" s="23" t="str">
        <x:v>No developed-article link recorded</x:v>
      </x:c>
      <x:c r="K55" s="23" t="str">
        <x:v>Not inferred</x:v>
      </x:c>
      <x:c r="L55" s="34" t="str">
        <x:v>038dc276d268125666fad0baf60aa1fa30faf306ad4ee22d53adf56027de76c8</x:v>
      </x:c>
      <x:c r="M55" s="32" t="n">
        <x:v>13727</x:v>
      </x:c>
      <x:c r="N55" s="23" t="str">
        <x:v>https://v5ma.github.io/theology-wiki/san-reader.html?page=biblical-text-timeline</x:v>
      </x:c>
    </x:row>
    <x:row r="56" ht="56" customHeight="1">
      <x:c r="A56" s="23" t="str">
        <x:v>Blue fascism explained</x:v>
      </x:c>
      <x:c r="B56" s="23" t="str">
        <x:v>gpt2026dragon2430_Blue_fascism_explained.txt</x:v>
      </x:c>
      <x:c r="C56" s="23" t="str">
        <x:v>2025-09-21</x:v>
      </x:c>
      <x:c r="D56" s="23" t="n">
        <x:v>5</x:v>
      </x:c>
      <x:c r="E56" s="23" t="str"/>
      <x:c r="F56" s="23" t="n">
        <x:f>IF(E56="",0,LEN(E56)-LEN(SUBSTITUTE(E56,CHAR(10),""))+1)</x:f>
        <x:v>0</x:v>
      </x:c>
      <x:c r="G56" s="23" t="str"/>
      <x:c r="H56" s="23" t="n">
        <x:f>IF(G56="",0,LEN(G56&amp;"")-LEN(SUBSTITUTE(G56&amp;"",CHAR(10),""))+1)</x:f>
        <x:v>0</x:v>
      </x:c>
      <x:c r="I56" s="23" t="str"/>
      <x:c r="J56" s="23" t="str">
        <x:v>No developed-article link recorded</x:v>
      </x:c>
      <x:c r="K56" s="23" t="str">
        <x:v>Not inferred</x:v>
      </x:c>
      <x:c r="L56" s="34" t="str">
        <x:v>b7b0eae79a67d9be2c0006044c644fe6d8da7539eb9fa1ed094cff87cd48c850</x:v>
      </x:c>
      <x:c r="M56" s="32" t="n">
        <x:v>10933</x:v>
      </x:c>
      <x:c r="N56" s="23" t="str">
        <x:v>https://v5ma.github.io/theology-wiki/san-reader.html?page=blue-fascism-explained</x:v>
      </x:c>
    </x:row>
    <x:row r="57" ht="56" customHeight="1">
      <x:c r="A57" s="23" t="str">
        <x:v>Born Smart, the story of Scout</x:v>
      </x:c>
      <x:c r="B57" s="23" t="str">
        <x:v>gpt2026dragon1282_Born_Smart_the_story_of_Scout.txt</x:v>
      </x:c>
      <x:c r="C57" s="23" t="str">
        <x:v>2025-04-08</x:v>
      </x:c>
      <x:c r="D57" s="23" t="n">
        <x:v>12</x:v>
      </x:c>
      <x:c r="E57" s="23" t="str"/>
      <x:c r="F57" s="23" t="n">
        <x:f>IF(E57="",0,LEN(E57)-LEN(SUBSTITUTE(E57,CHAR(10),""))+1)</x:f>
        <x:v>0</x:v>
      </x:c>
      <x:c r="G57" s="23" t="str"/>
      <x:c r="H57" s="23" t="n">
        <x:f>IF(G57="",0,LEN(G57&amp;"")-LEN(SUBSTITUTE(G57&amp;"",CHAR(10),""))+1)</x:f>
        <x:v>0</x:v>
      </x:c>
      <x:c r="I57" s="23" t="str"/>
      <x:c r="J57" s="23" t="str">
        <x:v>No developed-article link recorded</x:v>
      </x:c>
      <x:c r="K57" s="23" t="str">
        <x:v>Not inferred</x:v>
      </x:c>
      <x:c r="L57" s="34" t="str">
        <x:v>c7ff9cd51c55353662e274bbd643ad1c0aaec9ffb37d069765845dd121cbbe8e</x:v>
      </x:c>
      <x:c r="M57" s="32" t="n">
        <x:v>24064</x:v>
      </x:c>
      <x:c r="N57" s="23" t="str">
        <x:v>https://v5ma.github.io/theology-wiki/san-reader.html?page=born-smart-the-story-of-scout</x:v>
      </x:c>
    </x:row>
    <x:row r="58" ht="56" customHeight="1">
      <x:c r="A58" s="23" t="str">
        <x:v>Branch Branch Branch Branch Proof of God's existence</x:v>
      </x:c>
      <x:c r="B58" s="23" t="str">
        <x:v>gpt2026dragon2647_Branch_Branch_Branch_Branch_Proof_of_God.txt</x:v>
      </x:c>
      <x:c r="C58" s="23" t="str">
        <x:v>2025-10-18</x:v>
      </x:c>
      <x:c r="D58" s="23" t="n">
        <x:v>18</x:v>
      </x:c>
      <x:c r="E58" s="23" t="str"/>
      <x:c r="F58" s="23" t="n">
        <x:f>IF(E58="",0,LEN(E58)-LEN(SUBSTITUTE(E58,CHAR(10),""))+1)</x:f>
        <x:v>0</x:v>
      </x:c>
      <x:c r="G58" s="23" t="str"/>
      <x:c r="H58" s="23" t="n">
        <x:f>IF(G58="",0,LEN(G58&amp;"")-LEN(SUBSTITUTE(G58&amp;"",CHAR(10),""))+1)</x:f>
        <x:v>0</x:v>
      </x:c>
      <x:c r="I58" s="23" t="str"/>
      <x:c r="J58" s="23" t="str">
        <x:v>No developed-article link recorded</x:v>
      </x:c>
      <x:c r="K58" s="23" t="str">
        <x:v>Not inferred</x:v>
      </x:c>
      <x:c r="L58" s="34" t="str">
        <x:v>0441c3d5200a6c0b2c5651a28a47ed5137b17364cc968a4fb272bb436da90c9b</x:v>
      </x:c>
      <x:c r="M58" s="32" t="n">
        <x:v>75033</x:v>
      </x:c>
      <x:c r="N58" s="23" t="str">
        <x:v>https://v5ma.github.io/theology-wiki/san-reader.html?page=branch-branch-branch-branch-proof-of-god-s-existence</x:v>
      </x:c>
    </x:row>
    <x:row r="59" ht="56" customHeight="1">
      <x:c r="A59" s="23" t="str">
        <x:v>Branch Branch Branch Branch Proof of God's existence</x:v>
      </x:c>
      <x:c r="B59" s="23" t="str">
        <x:v>gpt2026dragon2648_Branch_Branch_Branch_Branch_Proof_of_God.txt</x:v>
      </x:c>
      <x:c r="C59" s="23" t="str">
        <x:v>2025-10-18</x:v>
      </x:c>
      <x:c r="D59" s="23" t="n">
        <x:v>83</x:v>
      </x:c>
      <x:c r="E59" s="23" t="str"/>
      <x:c r="F59" s="23" t="n">
        <x:f>IF(E59="",0,LEN(E59)-LEN(SUBSTITUTE(E59,CHAR(10),""))+1)</x:f>
        <x:v>0</x:v>
      </x:c>
      <x:c r="G59" s="23" t="str"/>
      <x:c r="H59" s="23" t="n">
        <x:f>IF(G59="",0,LEN(G59&amp;"")-LEN(SUBSTITUTE(G59&amp;"",CHAR(10),""))+1)</x:f>
        <x:v>0</x:v>
      </x:c>
      <x:c r="I59" s="23" t="str"/>
      <x:c r="J59" s="23" t="str">
        <x:v>No developed-article link recorded</x:v>
      </x:c>
      <x:c r="K59" s="23" t="str">
        <x:v>Not inferred</x:v>
      </x:c>
      <x:c r="L59" s="34" t="str">
        <x:v>52dc6c3875f3b23f90b135817041e17ae6b7ceaab50defbe76cc94ca0c914b88</x:v>
      </x:c>
      <x:c r="M59" s="32" t="n">
        <x:v>584939</x:v>
      </x:c>
      <x:c r="N59" s="23" t="str">
        <x:v>https://v5ma.github.io/theology-wiki/san-reader.html?page=branch-branch-branch-branch-proof-of-god-s-existence-2</x:v>
      </x:c>
    </x:row>
    <x:row r="60" ht="56" customHeight="1">
      <x:c r="A60" s="23" t="str">
        <x:v>Branch Branch Branch Branch Proof of God's existence</x:v>
      </x:c>
      <x:c r="B60" s="23" t="str">
        <x:v>gpt2026dragon2646_Branch_Branch_Branch_Branch_Proof_of_God.txt</x:v>
      </x:c>
      <x:c r="C60" s="23" t="str">
        <x:v>2025-10-18</x:v>
      </x:c>
      <x:c r="D60" s="23" t="n">
        <x:v>18</x:v>
      </x:c>
      <x:c r="E60" s="23" t="str"/>
      <x:c r="F60" s="23" t="n">
        <x:f>IF(E60="",0,LEN(E60)-LEN(SUBSTITUTE(E60,CHAR(10),""))+1)</x:f>
        <x:v>0</x:v>
      </x:c>
      <x:c r="G60" s="23" t="str"/>
      <x:c r="H60" s="23" t="n">
        <x:f>IF(G60="",0,LEN(G60&amp;"")-LEN(SUBSTITUTE(G60&amp;"",CHAR(10),""))+1)</x:f>
        <x:v>0</x:v>
      </x:c>
      <x:c r="I60" s="23" t="str"/>
      <x:c r="J60" s="23" t="str">
        <x:v>No developed-article link recorded</x:v>
      </x:c>
      <x:c r="K60" s="23" t="str">
        <x:v>Not inferred</x:v>
      </x:c>
      <x:c r="L60" s="34" t="str">
        <x:v>0a7a60fbd899129925f891f081b48b49c9948b27284bba931eb8c50a1b96e361</x:v>
      </x:c>
      <x:c r="M60" s="32" t="n">
        <x:v>72232</x:v>
      </x:c>
      <x:c r="N60" s="23" t="str">
        <x:v>https://v5ma.github.io/theology-wiki/san-reader.html?page=branch-branch-branch-branch-proof-of-god-s-existence-3</x:v>
      </x:c>
    </x:row>
    <x:row r="61" ht="56" customHeight="1">
      <x:c r="A61" s="23" t="str">
        <x:v>Branch Branch Branch Proof of God's existence</x:v>
      </x:c>
      <x:c r="B61" s="23" t="str">
        <x:v>gpt2026dragon2649_Branch_Branch_Branch_Proof_of_God_s_exis.txt</x:v>
      </x:c>
      <x:c r="C61" s="23" t="str">
        <x:v>2025-10-18</x:v>
      </x:c>
      <x:c r="D61" s="23" t="n">
        <x:v>38</x:v>
      </x:c>
      <x:c r="E61" s="23" t="str"/>
      <x:c r="F61" s="23" t="n">
        <x:f>IF(E61="",0,LEN(E61)-LEN(SUBSTITUTE(E61,CHAR(10),""))+1)</x:f>
        <x:v>0</x:v>
      </x:c>
      <x:c r="G61" s="23" t="str"/>
      <x:c r="H61" s="23" t="n">
        <x:f>IF(G61="",0,LEN(G61&amp;"")-LEN(SUBSTITUTE(G61&amp;"",CHAR(10),""))+1)</x:f>
        <x:v>0</x:v>
      </x:c>
      <x:c r="I61" s="23" t="str"/>
      <x:c r="J61" s="23" t="str">
        <x:v>No developed-article link recorded</x:v>
      </x:c>
      <x:c r="K61" s="23" t="str">
        <x:v>Not inferred</x:v>
      </x:c>
      <x:c r="L61" s="34" t="str">
        <x:v>107c49c5e1ee7889c28b8c236ced3de698ca09b542af69299eb766bd2cb6f636</x:v>
      </x:c>
      <x:c r="M61" s="32" t="n">
        <x:v>104850</x:v>
      </x:c>
      <x:c r="N61" s="23" t="str">
        <x:v>https://v5ma.github.io/theology-wiki/san-reader.html?page=branch-branch-branch-proof-of-god-s-existence</x:v>
      </x:c>
    </x:row>
    <x:row r="62" ht="56" customHeight="1">
      <x:c r="A62" s="23" t="str">
        <x:v>Branch Branch Branch Proof of God's existence</x:v>
      </x:c>
      <x:c r="B62" s="23" t="str">
        <x:v>gpt2026dragon2645_Branch_Branch_Branch_Proof_of_God_s_exis.txt</x:v>
      </x:c>
      <x:c r="C62" s="23" t="str">
        <x:v>2025-10-18</x:v>
      </x:c>
      <x:c r="D62" s="23" t="n">
        <x:v>27</x:v>
      </x:c>
      <x:c r="E62" s="23" t="str"/>
      <x:c r="F62" s="23" t="n">
        <x:f>IF(E62="",0,LEN(E62)-LEN(SUBSTITUTE(E62,CHAR(10),""))+1)</x:f>
        <x:v>0</x:v>
      </x:c>
      <x:c r="G62" s="23" t="str"/>
      <x:c r="H62" s="23" t="n">
        <x:f>IF(G62="",0,LEN(G62&amp;"")-LEN(SUBSTITUTE(G62&amp;"",CHAR(10),""))+1)</x:f>
        <x:v>0</x:v>
      </x:c>
      <x:c r="I62" s="23" t="str"/>
      <x:c r="J62" s="23" t="str">
        <x:v>No developed-article link recorded</x:v>
      </x:c>
      <x:c r="K62" s="23" t="str">
        <x:v>Not inferred</x:v>
      </x:c>
      <x:c r="L62" s="34" t="str">
        <x:v>fe898034b2878ad74577b7041fd6a6d56bd50cf0c72f4cfb44ec1d7eac566daf</x:v>
      </x:c>
      <x:c r="M62" s="32" t="n">
        <x:v>426746</x:v>
      </x:c>
      <x:c r="N62" s="23" t="str">
        <x:v>https://v5ma.github.io/theology-wiki/san-reader.html?page=branch-branch-branch-proof-of-god-s-existence-2</x:v>
      </x:c>
    </x:row>
    <x:row r="63" ht="56" customHeight="1">
      <x:c r="A63" s="23" t="str">
        <x:v>Branch Branch Israel Gaza famine responsibility</x:v>
      </x:c>
      <x:c r="B63" s="23" t="str">
        <x:v>gpt2026dragon2384_Branch_Branch_Israel_Gaza_famine_respons.txt</x:v>
      </x:c>
      <x:c r="C63" s="23" t="str">
        <x:v>2025-09-13</x:v>
      </x:c>
      <x:c r="D63" s="23" t="n">
        <x:v>56</x:v>
      </x:c>
      <x:c r="E63" s="23" t="str"/>
      <x:c r="F63" s="23" t="n">
        <x:f>IF(E63="",0,LEN(E63)-LEN(SUBSTITUTE(E63,CHAR(10),""))+1)</x:f>
        <x:v>0</x:v>
      </x:c>
      <x:c r="G63" s="23" t="str"/>
      <x:c r="H63" s="23" t="n">
        <x:f>IF(G63="",0,LEN(G63&amp;"")-LEN(SUBSTITUTE(G63&amp;"",CHAR(10),""))+1)</x:f>
        <x:v>0</x:v>
      </x:c>
      <x:c r="I63" s="23" t="str"/>
      <x:c r="J63" s="23" t="str">
        <x:v>No developed-article link recorded</x:v>
      </x:c>
      <x:c r="K63" s="23" t="str">
        <x:v>Not inferred</x:v>
      </x:c>
      <x:c r="L63" s="34" t="str">
        <x:v>a6802e7405eb0a2612cd06a19785a08f6db3c1bc4e635f35a69daf504d4a72ee</x:v>
      </x:c>
      <x:c r="M63" s="32" t="n">
        <x:v>315576</x:v>
      </x:c>
      <x:c r="N63" s="23" t="str">
        <x:v>https://v5ma.github.io/theology-wiki/san-reader.html?page=branch-branch-israel-gaza-famine-responsibility</x:v>
      </x:c>
    </x:row>
    <x:row r="64" ht="56" customHeight="1">
      <x:c r="A64" s="23" t="str">
        <x:v>Branch Branch Proof of God's existence</x:v>
      </x:c>
      <x:c r="B64" s="23" t="str">
        <x:v>gpt2026dragon2643_Branch_Branch_Proof_of_God_s_existence.txt</x:v>
      </x:c>
      <x:c r="C64" s="23" t="str">
        <x:v>2025-10-18</x:v>
      </x:c>
      <x:c r="D64" s="23" t="n">
        <x:v>45</x:v>
      </x:c>
      <x:c r="E64" s="23" t="str"/>
      <x:c r="F64" s="23" t="n">
        <x:f>IF(E64="",0,LEN(E64)-LEN(SUBSTITUTE(E64,CHAR(10),""))+1)</x:f>
        <x:v>0</x:v>
      </x:c>
      <x:c r="G64" s="23" t="str"/>
      <x:c r="H64" s="23" t="n">
        <x:f>IF(G64="",0,LEN(G64&amp;"")-LEN(SUBSTITUTE(G64&amp;"",CHAR(10),""))+1)</x:f>
        <x:v>0</x:v>
      </x:c>
      <x:c r="I64" s="23" t="str"/>
      <x:c r="J64" s="23" t="str">
        <x:v>No developed-article link recorded</x:v>
      </x:c>
      <x:c r="K64" s="23" t="str">
        <x:v>Not inferred</x:v>
      </x:c>
      <x:c r="L64" s="34" t="str">
        <x:v>185ef2517947eededfd18f65c094e39cc64803bfa6ad45335f5ab77d86aeec18</x:v>
      </x:c>
      <x:c r="M64" s="32" t="n">
        <x:v>585742</x:v>
      </x:c>
      <x:c r="N64" s="23" t="str">
        <x:v>https://v5ma.github.io/theology-wiki/san-reader.html?page=branch-branch-proof-of-god-s-existence</x:v>
      </x:c>
    </x:row>
    <x:row r="65" ht="56" customHeight="1">
      <x:c r="A65" s="23" t="str">
        <x:v>Branch Israel Gaza famine responsibility</x:v>
      </x:c>
      <x:c r="B65" s="23" t="str">
        <x:v>gpt2026dragon2376_Branch_Israel_Gaza_famine_responsibility.txt</x:v>
      </x:c>
      <x:c r="C65" s="23" t="str">
        <x:v>2025-09-12</x:v>
      </x:c>
      <x:c r="D65" s="23" t="n">
        <x:v>54</x:v>
      </x:c>
      <x:c r="E65" s="23" t="str"/>
      <x:c r="F65" s="23" t="n">
        <x:f>IF(E65="",0,LEN(E65)-LEN(SUBSTITUTE(E65,CHAR(10),""))+1)</x:f>
        <x:v>0</x:v>
      </x:c>
      <x:c r="G65" s="23" t="str"/>
      <x:c r="H65" s="23" t="n">
        <x:f>IF(G65="",0,LEN(G65&amp;"")-LEN(SUBSTITUTE(G65&amp;"",CHAR(10),""))+1)</x:f>
        <x:v>0</x:v>
      </x:c>
      <x:c r="I65" s="23" t="str"/>
      <x:c r="J65" s="23" t="str">
        <x:v>No developed-article link recorded</x:v>
      </x:c>
      <x:c r="K65" s="23" t="str">
        <x:v>Not inferred</x:v>
      </x:c>
      <x:c r="L65" s="34" t="str">
        <x:v>aae7f4789724e98134ba26b295da4b259a9518f4b6e51535dfeebf4f59e0cf6d</x:v>
      </x:c>
      <x:c r="M65" s="32" t="n">
        <x:v>304303</x:v>
      </x:c>
      <x:c r="N65" s="23" t="str">
        <x:v>https://v5ma.github.io/theology-wiki/san-reader.html?page=branch-israel-gaza-famine-responsibility</x:v>
      </x:c>
    </x:row>
    <x:row r="66" ht="56" customHeight="1">
      <x:c r="A66" s="23" t="str">
        <x:v>Branch Plagiarism Equivalent vs Plagiarism</x:v>
      </x:c>
      <x:c r="B66" s="23" t="str">
        <x:v>gpt2026dragon2771_Branch_Plagiarism_Equivalent_vs_Plagiari.txt</x:v>
      </x:c>
      <x:c r="C66" s="23" t="str">
        <x:v>2025-11-16</x:v>
      </x:c>
      <x:c r="D66" s="23" t="n">
        <x:v>22</x:v>
      </x:c>
      <x:c r="E66" s="23" t="str"/>
      <x:c r="F66" s="23" t="n">
        <x:f>IF(E66="",0,LEN(E66)-LEN(SUBSTITUTE(E66,CHAR(10),""))+1)</x:f>
        <x:v>0</x:v>
      </x:c>
      <x:c r="G66" s="23" t="str"/>
      <x:c r="H66" s="23" t="n">
        <x:f>IF(G66="",0,LEN(G66&amp;"")-LEN(SUBSTITUTE(G66&amp;"",CHAR(10),""))+1)</x:f>
        <x:v>0</x:v>
      </x:c>
      <x:c r="I66" s="23" t="str"/>
      <x:c r="J66" s="23" t="str">
        <x:v>No developed-article link recorded</x:v>
      </x:c>
      <x:c r="K66" s="23" t="str">
        <x:v>Not inferred</x:v>
      </x:c>
      <x:c r="L66" s="34" t="str">
        <x:v>5b50ef2789f048af4fc085e5c9b707791e588c691f01d16d9842694b1126c8d6</x:v>
      </x:c>
      <x:c r="M66" s="32" t="n">
        <x:v>97031</x:v>
      </x:c>
      <x:c r="N66" s="23" t="str">
        <x:v>https://v5ma.github.io/theology-wiki/san-reader.html?page=branch-plagiarism-equivalent-vs-plagiarism</x:v>
      </x:c>
    </x:row>
    <x:row r="67" ht="56" customHeight="1">
      <x:c r="A67" s="23" t="str">
        <x:v>Branch Proof of God's existence</x:v>
      </x:c>
      <x:c r="B67" s="23" t="str">
        <x:v>gpt2026dragon2640_Branch_Proof_of_God_s_existence.txt</x:v>
      </x:c>
      <x:c r="C67" s="23" t="str">
        <x:v>2025-10-18</x:v>
      </x:c>
      <x:c r="D67" s="23" t="n">
        <x:v>45</x:v>
      </x:c>
      <x:c r="E67" s="23" t="str"/>
      <x:c r="F67" s="23" t="n">
        <x:f>IF(E67="",0,LEN(E67)-LEN(SUBSTITUTE(E67,CHAR(10),""))+1)</x:f>
        <x:v>0</x:v>
      </x:c>
      <x:c r="G67" s="23" t="str"/>
      <x:c r="H67" s="23" t="n">
        <x:f>IF(G67="",0,LEN(G67&amp;"")-LEN(SUBSTITUTE(G67&amp;"",CHAR(10),""))+1)</x:f>
        <x:v>0</x:v>
      </x:c>
      <x:c r="I67" s="23" t="str"/>
      <x:c r="J67" s="23" t="str">
        <x:v>No developed-article link recorded</x:v>
      </x:c>
      <x:c r="K67" s="23" t="str">
        <x:v>Not inferred</x:v>
      </x:c>
      <x:c r="L67" s="34" t="str">
        <x:v>8e29b5c2df44c7e7107abffe68ca87e6d9dd6ec775afb97a1e4df0ee66bf9c38</x:v>
      </x:c>
      <x:c r="M67" s="32" t="n">
        <x:v>420432</x:v>
      </x:c>
      <x:c r="N67" s="23" t="str">
        <x:v>https://v5ma.github.io/theology-wiki/san-reader.html?page=branch-proof-of-god-s-existence</x:v>
      </x:c>
    </x:row>
    <x:row r="68" ht="56" customHeight="1">
      <x:c r="A68" s="23" t="str">
        <x:v>Branch Riemann curve mapping</x:v>
      </x:c>
      <x:c r="B68" s="23" t="str">
        <x:v>gpt2026dragon2410_Branch_Riemann_curve_mapping.txt</x:v>
      </x:c>
      <x:c r="C68" s="23" t="str">
        <x:v>2025-09-20</x:v>
      </x:c>
      <x:c r="D68" s="23" t="n">
        <x:v>23</x:v>
      </x:c>
      <x:c r="E68" s="23" t="str"/>
      <x:c r="F68" s="23" t="n">
        <x:f>IF(E68="",0,LEN(E68)-LEN(SUBSTITUTE(E68,CHAR(10),""))+1)</x:f>
        <x:v>0</x:v>
      </x:c>
      <x:c r="G68" s="23" t="str"/>
      <x:c r="H68" s="23" t="n">
        <x:f>IF(G68="",0,LEN(G68&amp;"")-LEN(SUBSTITUTE(G68&amp;"",CHAR(10),""))+1)</x:f>
        <x:v>0</x:v>
      </x:c>
      <x:c r="I68" s="23" t="str"/>
      <x:c r="J68" s="23" t="str">
        <x:v>No developed-article link recorded</x:v>
      </x:c>
      <x:c r="K68" s="23" t="str">
        <x:v>Not inferred</x:v>
      </x:c>
      <x:c r="L68" s="34" t="str">
        <x:v>624b109dd9c1b8daf3270ea2cecc19f03c0228fe024cd0aa87c18b127f394a22</x:v>
      </x:c>
      <x:c r="M68" s="32" t="n">
        <x:v>109308</x:v>
      </x:c>
      <x:c r="N68" s="23" t="str">
        <x:v>https://v5ma.github.io/theology-wiki/san-reader.html?page=branch-riemann-curve-mapping</x:v>
      </x:c>
    </x:row>
    <x:row r="69" ht="56" customHeight="1">
      <x:c r="A69" s="23" t="str">
        <x:v>Branch SAN Minkowski model</x:v>
      </x:c>
      <x:c r="B69" s="23" t="str">
        <x:v>gpt2026dragon2488_Branch_SAN_Minkowski_model.txt</x:v>
      </x:c>
      <x:c r="C69" s="23" t="str">
        <x:v>2025-09-28</x:v>
      </x:c>
      <x:c r="D69" s="23" t="n">
        <x:v>11</x:v>
      </x:c>
      <x:c r="E69" s="23" t="str"/>
      <x:c r="F69" s="23" t="n">
        <x:f>IF(E69="",0,LEN(E69)-LEN(SUBSTITUTE(E69,CHAR(10),""))+1)</x:f>
        <x:v>0</x:v>
      </x:c>
      <x:c r="G69" s="23" t="str"/>
      <x:c r="H69" s="23" t="n">
        <x:f>IF(G69="",0,LEN(G69&amp;"")-LEN(SUBSTITUTE(G69&amp;"",CHAR(10),""))+1)</x:f>
        <x:v>0</x:v>
      </x:c>
      <x:c r="I69" s="23" t="str"/>
      <x:c r="J69" s="23" t="str">
        <x:v>No developed-article link recorded</x:v>
      </x:c>
      <x:c r="K69" s="23" t="str">
        <x:v>Not inferred</x:v>
      </x:c>
      <x:c r="L69" s="34" t="str">
        <x:v>d4b059c726c7c322397540e9e4530663882182a97176674851009b61be078199</x:v>
      </x:c>
      <x:c r="M69" s="32" t="n">
        <x:v>58044</x:v>
      </x:c>
      <x:c r="N69" s="23" t="str">
        <x:v>https://v5ma.github.io/theology-wiki/san-reader.html?page=branch-san-minkowski-model</x:v>
      </x:c>
    </x:row>
    <x:row r="70" ht="56" customHeight="1">
      <x:c r="A70" s="23" t="str">
        <x:v>Calvary Chapel and Meat Industry</x:v>
      </x:c>
      <x:c r="B70" s="23" t="str">
        <x:v>gpt2026dragon1587_Calvary_Chapel_and_Meat_Industry.txt</x:v>
      </x:c>
      <x:c r="C70" s="23" t="str">
        <x:v>2025-05-30</x:v>
      </x:c>
      <x:c r="D70" s="23" t="n">
        <x:v>19</x:v>
      </x:c>
      <x:c r="E70" s="23" t="str"/>
      <x:c r="F70" s="23" t="n">
        <x:f>IF(E70="",0,LEN(E70)-LEN(SUBSTITUTE(E70,CHAR(10),""))+1)</x:f>
        <x:v>0</x:v>
      </x:c>
      <x:c r="G70" s="23" t="str"/>
      <x:c r="H70" s="23" t="n">
        <x:f>IF(G70="",0,LEN(G70&amp;"")-LEN(SUBSTITUTE(G70&amp;"",CHAR(10),""))+1)</x:f>
        <x:v>0</x:v>
      </x:c>
      <x:c r="I70" s="23" t="str"/>
      <x:c r="J70" s="23" t="str">
        <x:v>No developed-article link recorded</x:v>
      </x:c>
      <x:c r="K70" s="23" t="str">
        <x:v>Not inferred</x:v>
      </x:c>
      <x:c r="L70" s="34" t="str">
        <x:v>f58078d698a63f7ec3ac1271ad22c275a549ca61313d05aa4f5c2ae08de7959a</x:v>
      </x:c>
      <x:c r="M70" s="32" t="n">
        <x:v>28520</x:v>
      </x:c>
      <x:c r="N70" s="23" t="str">
        <x:v>https://v5ma.github.io/theology-wiki/san-reader.html?page=calvary-chapel-and-meat-industry</x:v>
      </x:c>
    </x:row>
    <x:row r="71" ht="56" customHeight="1">
      <x:c r="A71" s="23" t="str">
        <x:v>Calvary Chapel vs Gnosticism</x:v>
      </x:c>
      <x:c r="B71" s="23" t="str">
        <x:v>gpt2026dragon949_Calvary_Chapel_vs_Gnosticism.txt</x:v>
      </x:c>
      <x:c r="C71" s="23" t="str">
        <x:v>2025-02-15</x:v>
      </x:c>
      <x:c r="D71" s="23" t="n">
        <x:v>7</x:v>
      </x:c>
      <x:c r="E71" s="23" t="str"/>
      <x:c r="F71" s="23" t="n">
        <x:f>IF(E71="",0,LEN(E71)-LEN(SUBSTITUTE(E71,CHAR(10),""))+1)</x:f>
        <x:v>0</x:v>
      </x:c>
      <x:c r="G71" s="23" t="str"/>
      <x:c r="H71" s="23" t="n">
        <x:f>IF(G71="",0,LEN(G71&amp;"")-LEN(SUBSTITUTE(G71&amp;"",CHAR(10),""))+1)</x:f>
        <x:v>0</x:v>
      </x:c>
      <x:c r="I71" s="23" t="str"/>
      <x:c r="J71" s="23" t="str">
        <x:v>No developed-article link recorded</x:v>
      </x:c>
      <x:c r="K71" s="23" t="str">
        <x:v>Not inferred</x:v>
      </x:c>
      <x:c r="L71" s="34" t="str">
        <x:v>2cecf48d98ba61ac8b883dc935353ffef449beaf0d81a179958ce9e30500c769</x:v>
      </x:c>
      <x:c r="M71" s="32" t="n">
        <x:v>7675</x:v>
      </x:c>
      <x:c r="N71" s="23" t="str">
        <x:v>https://v5ma.github.io/theology-wiki/san-reader.html?page=calvary-chapel-vs-gnosticism</x:v>
      </x:c>
    </x:row>
    <x:row r="72" ht="56" customHeight="1">
      <x:c r="A72" s="23" t="str">
        <x:v>Canaanite Myths vs Exodus</x:v>
      </x:c>
      <x:c r="B72" s="23" t="str">
        <x:v>gpt2026dragon1034_Canaanite_Myths_vs_Exodus.txt</x:v>
      </x:c>
      <x:c r="C72" s="23" t="str">
        <x:v>2025-03-03</x:v>
      </x:c>
      <x:c r="D72" s="23" t="n">
        <x:v>19</x:v>
      </x:c>
      <x:c r="E72" s="23" t="str"/>
      <x:c r="F72" s="23" t="n">
        <x:f>IF(E72="",0,LEN(E72)-LEN(SUBSTITUTE(E72,CHAR(10),""))+1)</x:f>
        <x:v>0</x:v>
      </x:c>
      <x:c r="G72" s="23" t="str"/>
      <x:c r="H72" s="23" t="n">
        <x:f>IF(G72="",0,LEN(G72&amp;"")-LEN(SUBSTITUTE(G72&amp;"",CHAR(10),""))+1)</x:f>
        <x:v>0</x:v>
      </x:c>
      <x:c r="I72" s="23" t="str"/>
      <x:c r="J72" s="23" t="str">
        <x:v>No developed-article link recorded</x:v>
      </x:c>
      <x:c r="K72" s="23" t="str">
        <x:v>Not inferred</x:v>
      </x:c>
      <x:c r="L72" s="34" t="str">
        <x:v>83c402be10884a75cc9c60776ded556600fe9f8c8367ac288eeb18756e8f5a9d</x:v>
      </x:c>
      <x:c r="M72" s="32" t="n">
        <x:v>57800</x:v>
      </x:c>
      <x:c r="N72" s="23" t="str">
        <x:v>https://v5ma.github.io/theology-wiki/san-reader.html?page=canaanite-myths-vs-exodus</x:v>
      </x:c>
    </x:row>
    <x:row r="73" ht="56" customHeight="1">
      <x:c r="A73" s="23" t="str">
        <x:v>Capitalism and Democracy Threats</x:v>
      </x:c>
      <x:c r="B73" s="23" t="str">
        <x:v>gpt2026dragon588_Capitalism_and_Democracy_Threats.txt</x:v>
      </x:c>
      <x:c r="C73" s="23" t="str">
        <x:v>2024-12-29</x:v>
      </x:c>
      <x:c r="D73" s="23" t="n">
        <x:v>2</x:v>
      </x:c>
      <x:c r="E73" s="23" t="str"/>
      <x:c r="F73" s="23" t="n">
        <x:f>IF(E73="",0,LEN(E73)-LEN(SUBSTITUTE(E73,CHAR(10),""))+1)</x:f>
        <x:v>0</x:v>
      </x:c>
      <x:c r="G73" s="23" t="str"/>
      <x:c r="H73" s="23" t="n">
        <x:f>IF(G73="",0,LEN(G73&amp;"")-LEN(SUBSTITUTE(G73&amp;"",CHAR(10),""))+1)</x:f>
        <x:v>0</x:v>
      </x:c>
      <x:c r="I73" s="23" t="str"/>
      <x:c r="J73" s="23" t="str">
        <x:v>No developed-article link recorded</x:v>
      </x:c>
      <x:c r="K73" s="23" t="str">
        <x:v>Not inferred</x:v>
      </x:c>
      <x:c r="L73" s="34" t="str">
        <x:v>7e20bce3d9b197951c4c58221afb365ebdea44e9073eeb8e9ee12922caa69218</x:v>
      </x:c>
      <x:c r="M73" s="32" t="n">
        <x:v>2848</x:v>
      </x:c>
      <x:c r="N73" s="23" t="str">
        <x:v>https://v5ma.github.io/theology-wiki/san-reader.html?page=capitalism-and-democracy-threats</x:v>
      </x:c>
    </x:row>
    <x:row r="74" ht="56" customHeight="1">
      <x:c r="A74" s="23" t="str">
        <x:v>Catholic Priests and Ancient Texts</x:v>
      </x:c>
      <x:c r="B74" s="23" t="str">
        <x:v>gpt2026dragon1571_Catholic_Priests_and_Ancient_Texts.txt</x:v>
      </x:c>
      <x:c r="C74" s="23" t="str">
        <x:v>2025-05-27</x:v>
      </x:c>
      <x:c r="D74" s="23" t="n">
        <x:v>4</x:v>
      </x:c>
      <x:c r="E74" s="23" t="str"/>
      <x:c r="F74" s="23" t="n">
        <x:f>IF(E74="",0,LEN(E74)-LEN(SUBSTITUTE(E74,CHAR(10),""))+1)</x:f>
        <x:v>0</x:v>
      </x:c>
      <x:c r="G74" s="23" t="str"/>
      <x:c r="H74" s="23" t="n">
        <x:f>IF(G74="",0,LEN(G74&amp;"")-LEN(SUBSTITUTE(G74&amp;"",CHAR(10),""))+1)</x:f>
        <x:v>0</x:v>
      </x:c>
      <x:c r="I74" s="23" t="str"/>
      <x:c r="J74" s="23" t="str">
        <x:v>No developed-article link recorded</x:v>
      </x:c>
      <x:c r="K74" s="23" t="str">
        <x:v>Not inferred</x:v>
      </x:c>
      <x:c r="L74" s="34" t="str">
        <x:v>842dc4ce1d00a74c38cd0976abe403e6690931c4feababc23c522daefa024ed1</x:v>
      </x:c>
      <x:c r="M74" s="32" t="n">
        <x:v>3963</x:v>
      </x:c>
      <x:c r="N74" s="23" t="str">
        <x:v>https://v5ma.github.io/theology-wiki/san-reader.html?page=catholic-priests-and-ancient-texts</x:v>
      </x:c>
    </x:row>
    <x:row r="75" ht="56" customHeight="1">
      <x:c r="A75" s="23" t="str">
        <x:v>ChatGPT Beasts Revelation Theory</x:v>
      </x:c>
      <x:c r="B75" s="23" t="str">
        <x:v>gpt2026dragon1095_ChatGPT_Beasts_Revelation_Theory.txt</x:v>
      </x:c>
      <x:c r="C75" s="23" t="str">
        <x:v>2025-03-13</x:v>
      </x:c>
      <x:c r="D75" s="23" t="n">
        <x:v>7</x:v>
      </x:c>
      <x:c r="E75" s="23" t="str"/>
      <x:c r="F75" s="23" t="n">
        <x:f>IF(E75="",0,LEN(E75)-LEN(SUBSTITUTE(E75,CHAR(10),""))+1)</x:f>
        <x:v>0</x:v>
      </x:c>
      <x:c r="G75" s="23" t="str"/>
      <x:c r="H75" s="23" t="n">
        <x:f>IF(G75="",0,LEN(G75&amp;"")-LEN(SUBSTITUTE(G75&amp;"",CHAR(10),""))+1)</x:f>
        <x:v>0</x:v>
      </x:c>
      <x:c r="I75" s="23" t="str"/>
      <x:c r="J75" s="23" t="str">
        <x:v>No developed-article link recorded</x:v>
      </x:c>
      <x:c r="K75" s="23" t="str">
        <x:v>Not inferred</x:v>
      </x:c>
      <x:c r="L75" s="34" t="str">
        <x:v>8e9ffd3143d372a1274bd31c50c327b8aeeaa88d1f4770d4f432c50f7340a775</x:v>
      </x:c>
      <x:c r="M75" s="32" t="n">
        <x:v>47548</x:v>
      </x:c>
      <x:c r="N75" s="23" t="str">
        <x:v>https://v5ma.github.io/theology-wiki/san-reader.html?page=chatgpt-beasts-revelation-theory</x:v>
      </x:c>
    </x:row>
    <x:row r="76" ht="56" customHeight="1">
      <x:c r="A76" s="23" t="str">
        <x:v>ChatGPT File Splitting</x:v>
      </x:c>
      <x:c r="B76" s="23" t="str">
        <x:v>gpt2026dragon1698_ChatGPT_File_Splitting.txt</x:v>
      </x:c>
      <x:c r="C76" s="23" t="str">
        <x:v>2025-06-18</x:v>
      </x:c>
      <x:c r="D76" s="23" t="n">
        <x:v>82</x:v>
      </x:c>
      <x:c r="E76" s="23" t="str"/>
      <x:c r="F76" s="23" t="n">
        <x:f>IF(E76="",0,LEN(E76)-LEN(SUBSTITUTE(E76,CHAR(10),""))+1)</x:f>
        <x:v>0</x:v>
      </x:c>
      <x:c r="G76" s="23" t="str"/>
      <x:c r="H76" s="23" t="n">
        <x:f>IF(G76="",0,LEN(G76&amp;"")-LEN(SUBSTITUTE(G76&amp;"",CHAR(10),""))+1)</x:f>
        <x:v>0</x:v>
      </x:c>
      <x:c r="I76" s="23" t="str"/>
      <x:c r="J76" s="23" t="str">
        <x:v>No developed-article link recorded</x:v>
      </x:c>
      <x:c r="K76" s="23" t="str">
        <x:v>Not inferred</x:v>
      </x:c>
      <x:c r="L76" s="34" t="str">
        <x:v>5d8c5ba0a5c7a6de80b59a00239b54e268c5a3b21566d665126560711aa804bb</x:v>
      </x:c>
      <x:c r="M76" s="32" t="n">
        <x:v>432449</x:v>
      </x:c>
      <x:c r="N76" s="23" t="str">
        <x:v>https://v5ma.github.io/theology-wiki/san-reader.html?page=chatgpt-file-splitting</x:v>
      </x:c>
    </x:row>
    <x:row r="77" ht="56" customHeight="1">
      <x:c r="A77" s="23" t="str">
        <x:v>Cheese Varieties from Milk</x:v>
      </x:c>
      <x:c r="B77" s="23" t="str">
        <x:v>gpt2026dragon250_Cheese_Varieties_from_Milk.txt</x:v>
      </x:c>
      <x:c r="C77" s="23" t="str">
        <x:v>2024-10-16</x:v>
      </x:c>
      <x:c r="D77" s="23" t="n">
        <x:v>17</x:v>
      </x:c>
      <x:c r="E77" s="23" t="str"/>
      <x:c r="F77" s="23" t="n">
        <x:f>IF(E77="",0,LEN(E77)-LEN(SUBSTITUTE(E77,CHAR(10),""))+1)</x:f>
        <x:v>0</x:v>
      </x:c>
      <x:c r="G77" s="23" t="str"/>
      <x:c r="H77" s="23" t="n">
        <x:f>IF(G77="",0,LEN(G77&amp;"")-LEN(SUBSTITUTE(G77&amp;"",CHAR(10),""))+1)</x:f>
        <x:v>0</x:v>
      </x:c>
      <x:c r="I77" s="23" t="str"/>
      <x:c r="J77" s="23" t="str">
        <x:v>No developed-article link recorded</x:v>
      </x:c>
      <x:c r="K77" s="23" t="str">
        <x:v>Not inferred</x:v>
      </x:c>
      <x:c r="L77" s="34" t="str">
        <x:v>05099c8327f93055ff221d6e0c868cb7d79a1dd3f55e9302f9f17634ad77ed9b</x:v>
      </x:c>
      <x:c r="M77" s="32" t="n">
        <x:v>26540</x:v>
      </x:c>
      <x:c r="N77" s="23" t="str">
        <x:v>https://v5ma.github.io/theology-wiki/san-reader.html?page=cheese-varieties-from-milk</x:v>
      </x:c>
    </x:row>
    <x:row r="78" ht="56" customHeight="1">
      <x:c r="A78" s="23" t="str">
        <x:v>China's Human Rights Abuses</x:v>
      </x:c>
      <x:c r="B78" s="23" t="str">
        <x:v>gpt2026dragon884_China_s_Human_Rights_Abuses.txt</x:v>
      </x:c>
      <x:c r="C78" s="23" t="str">
        <x:v>2025-02-06</x:v>
      </x:c>
      <x:c r="D78" s="23" t="n">
        <x:v>17</x:v>
      </x:c>
      <x:c r="E78" s="23" t="str"/>
      <x:c r="F78" s="23" t="n">
        <x:f>IF(E78="",0,LEN(E78)-LEN(SUBSTITUTE(E78,CHAR(10),""))+1)</x:f>
        <x:v>0</x:v>
      </x:c>
      <x:c r="G78" s="23" t="str"/>
      <x:c r="H78" s="23" t="n">
        <x:f>IF(G78="",0,LEN(G78&amp;"")-LEN(SUBSTITUTE(G78&amp;"",CHAR(10),""))+1)</x:f>
        <x:v>0</x:v>
      </x:c>
      <x:c r="I78" s="23" t="str"/>
      <x:c r="J78" s="23" t="str">
        <x:v>No developed-article link recorded</x:v>
      </x:c>
      <x:c r="K78" s="23" t="str">
        <x:v>Not inferred</x:v>
      </x:c>
      <x:c r="L78" s="34" t="str">
        <x:v>568d3b4f68febad6d5089bce73e42a78f07118ea402158e66cca11c2a77dc852</x:v>
      </x:c>
      <x:c r="M78" s="32" t="n">
        <x:v>43726</x:v>
      </x:c>
      <x:c r="N78" s="23" t="str">
        <x:v>https://v5ma.github.io/theology-wiki/san-reader.html?page=china-s-human-rights-abuses</x:v>
      </x:c>
    </x:row>
    <x:row r="79" ht="56" customHeight="1">
      <x:c r="A79" s="23" t="str">
        <x:v>Christ vs Antichrist contrast</x:v>
      </x:c>
      <x:c r="B79" s="23" t="str">
        <x:v>gpt2026dragon2703_Christ_vs_Antichrist_contrast.txt</x:v>
      </x:c>
      <x:c r="C79" s="23" t="str">
        <x:v>2025-10-30</x:v>
      </x:c>
      <x:c r="D79" s="23" t="n">
        <x:v>31</x:v>
      </x:c>
      <x:c r="E79" s="23" t="str"/>
      <x:c r="F79" s="23" t="n">
        <x:f>IF(E79="",0,LEN(E79)-LEN(SUBSTITUTE(E79,CHAR(10),""))+1)</x:f>
        <x:v>0</x:v>
      </x:c>
      <x:c r="G79" s="23" t="str"/>
      <x:c r="H79" s="23" t="n">
        <x:f>IF(G79="",0,LEN(G79&amp;"")-LEN(SUBSTITUTE(G79&amp;"",CHAR(10),""))+1)</x:f>
        <x:v>0</x:v>
      </x:c>
      <x:c r="I79" s="23" t="str"/>
      <x:c r="J79" s="23" t="str">
        <x:v>No developed-article link recorded</x:v>
      </x:c>
      <x:c r="K79" s="23" t="str">
        <x:v>Not inferred</x:v>
      </x:c>
      <x:c r="L79" s="34" t="str">
        <x:v>aa073bf8865a120d51124cf7698cd769a4264c2c2258ba9384741088cbee2c6f</x:v>
      </x:c>
      <x:c r="M79" s="32" t="n">
        <x:v>94315</x:v>
      </x:c>
      <x:c r="N79" s="23" t="str">
        <x:v>https://v5ma.github.io/theology-wiki/san-reader.html?page=christ-vs-antichrist-contrast</x:v>
      </x:c>
    </x:row>
    <x:row r="80" ht="56" customHeight="1">
      <x:c r="A80" s="23" t="str">
        <x:v>Christian Salvation without Supernaturalism</x:v>
      </x:c>
      <x:c r="B80" s="23" t="str">
        <x:v>gpt2026dragon1648_Christian_Salvation_without_Supernatural.txt</x:v>
      </x:c>
      <x:c r="C80" s="23" t="str">
        <x:v>2025-06-08</x:v>
      </x:c>
      <x:c r="D80" s="23" t="n">
        <x:v>7</x:v>
      </x:c>
      <x:c r="E80" s="23" t="str"/>
      <x:c r="F80" s="23" t="n">
        <x:f>IF(E80="",0,LEN(E80)-LEN(SUBSTITUTE(E80,CHAR(10),""))+1)</x:f>
        <x:v>0</x:v>
      </x:c>
      <x:c r="G80" s="23" t="str"/>
      <x:c r="H80" s="23" t="n">
        <x:f>IF(G80="",0,LEN(G80&amp;"")-LEN(SUBSTITUTE(G80&amp;"",CHAR(10),""))+1)</x:f>
        <x:v>0</x:v>
      </x:c>
      <x:c r="I80" s="23" t="str"/>
      <x:c r="J80" s="23" t="str">
        <x:v>No developed-article link recorded</x:v>
      </x:c>
      <x:c r="K80" s="23" t="str">
        <x:v>Not inferred</x:v>
      </x:c>
      <x:c r="L80" s="34" t="str">
        <x:v>02ae62476fdb9830ffebab65404ce166c7662e276845a60093c7598881aa4e33</x:v>
      </x:c>
      <x:c r="M80" s="32" t="n">
        <x:v>9075</x:v>
      </x:c>
      <x:c r="N80" s="23" t="str">
        <x:v>https://v5ma.github.io/theology-wiki/san-reader.html?page=christian-salvation-without-supernaturalism</x:v>
      </x:c>
    </x:row>
    <x:row r="81" ht="56" customHeight="1">
      <x:c r="A81" s="23" t="str">
        <x:v>Christian view of death</x:v>
      </x:c>
      <x:c r="B81" s="23" t="str">
        <x:v>gpt2026dragon2732_Christian_view_of_death.txt</x:v>
      </x:c>
      <x:c r="C81" s="23" t="str">
        <x:v>2025-11-06</x:v>
      </x:c>
      <x:c r="D81" s="23" t="n">
        <x:v>2</x:v>
      </x:c>
      <x:c r="E81" s="23" t="str"/>
      <x:c r="F81" s="23" t="n">
        <x:f>IF(E81="",0,LEN(E81)-LEN(SUBSTITUTE(E81,CHAR(10),""))+1)</x:f>
        <x:v>0</x:v>
      </x:c>
      <x:c r="G81" s="23" t="str"/>
      <x:c r="H81" s="23" t="n">
        <x:f>IF(G81="",0,LEN(G81&amp;"")-LEN(SUBSTITUTE(G81&amp;"",CHAR(10),""))+1)</x:f>
        <x:v>0</x:v>
      </x:c>
      <x:c r="I81" s="23" t="str"/>
      <x:c r="J81" s="23" t="str">
        <x:v>No developed-article link recorded</x:v>
      </x:c>
      <x:c r="K81" s="23" t="str">
        <x:v>Not inferred</x:v>
      </x:c>
      <x:c r="L81" s="34" t="str">
        <x:v>b83e4f3a5c23530c194feb099f4e6a2193332b218af686d06b5665042693f478</x:v>
      </x:c>
      <x:c r="M81" s="32" t="n">
        <x:v>3308</x:v>
      </x:c>
      <x:c r="N81" s="23" t="str">
        <x:v>https://v5ma.github.io/theology-wiki/san-reader.html?page=christian-view-of-death</x:v>
      </x:c>
    </x:row>
    <x:row r="82" ht="56" customHeight="1">
      <x:c r="A82" s="23" t="str">
        <x:v>Church Corporate Sponsorship Evidence</x:v>
      </x:c>
      <x:c r="B82" s="23" t="str">
        <x:v>gpt2026dragon1588_Church_Corporate_Sponsorship_Evidence.txt</x:v>
      </x:c>
      <x:c r="C82" s="23" t="str">
        <x:v>2025-05-30</x:v>
      </x:c>
      <x:c r="D82" s="23" t="n">
        <x:v>1</x:v>
      </x:c>
      <x:c r="E82" s="23" t="str"/>
      <x:c r="F82" s="23" t="n">
        <x:f>IF(E82="",0,LEN(E82)-LEN(SUBSTITUTE(E82,CHAR(10),""))+1)</x:f>
        <x:v>0</x:v>
      </x:c>
      <x:c r="G82" s="23" t="str"/>
      <x:c r="H82" s="23" t="n">
        <x:f>IF(G82="",0,LEN(G82&amp;"")-LEN(SUBSTITUTE(G82&amp;"",CHAR(10),""))+1)</x:f>
        <x:v>0</x:v>
      </x:c>
      <x:c r="I82" s="23" t="str"/>
      <x:c r="J82" s="23" t="str">
        <x:v>No developed-article link recorded</x:v>
      </x:c>
      <x:c r="K82" s="23" t="str">
        <x:v>Not inferred</x:v>
      </x:c>
      <x:c r="L82" s="34" t="str">
        <x:v>3e07c5c4c85d5330995b16c840435b836272b8e70c8b93da9478507195f7054e</x:v>
      </x:c>
      <x:c r="M82" s="32" t="n">
        <x:v>2875</x:v>
      </x:c>
      <x:c r="N82" s="23" t="str">
        <x:v>https://v5ma.github.io/theology-wiki/san-reader.html?page=church-corporate-sponsorship-evidence</x:v>
      </x:c>
    </x:row>
    <x:row r="83" ht="56" customHeight="1">
      <x:c r="A83" s="23" t="str">
        <x:v>Churches Rejecting Paul's Writings</x:v>
      </x:c>
      <x:c r="B83" s="23" t="str">
        <x:v>gpt2026dragon1566_Churches_Rejecting_Paul_s_Writings.txt</x:v>
      </x:c>
      <x:c r="C83" s="23" t="str">
        <x:v>2025-05-25</x:v>
      </x:c>
      <x:c r="D83" s="23" t="n">
        <x:v>2</x:v>
      </x:c>
      <x:c r="E83" s="23" t="str"/>
      <x:c r="F83" s="23" t="n">
        <x:f>IF(E83="",0,LEN(E83)-LEN(SUBSTITUTE(E83,CHAR(10),""))+1)</x:f>
        <x:v>0</x:v>
      </x:c>
      <x:c r="G83" s="23" t="str"/>
      <x:c r="H83" s="23" t="n">
        <x:f>IF(G83="",0,LEN(G83&amp;"")-LEN(SUBSTITUTE(G83&amp;"",CHAR(10),""))+1)</x:f>
        <x:v>0</x:v>
      </x:c>
      <x:c r="I83" s="23" t="str"/>
      <x:c r="J83" s="23" t="str">
        <x:v>No developed-article link recorded</x:v>
      </x:c>
      <x:c r="K83" s="23" t="str">
        <x:v>Not inferred</x:v>
      </x:c>
      <x:c r="L83" s="34" t="str">
        <x:v>ea190f0f06dbfcb03a4d88e59f500547c934891c9b9a293dae085aa8a7039326</x:v>
      </x:c>
      <x:c r="M83" s="32" t="n">
        <x:v>2063</x:v>
      </x:c>
      <x:c r="N83" s="23" t="str">
        <x:v>https://v5ma.github.io/theology-wiki/san-reader.html?page=churches-rejecting-paul-s-writings</x:v>
      </x:c>
    </x:row>
    <x:row r="84" ht="56" customHeight="1">
      <x:c r="A84" s="23" t="str">
        <x:v>City of David Structures</x:v>
      </x:c>
      <x:c r="B84" s="23" t="str">
        <x:v>gpt2026dragon1262_City_of_David_Structures.txt</x:v>
      </x:c>
      <x:c r="C84" s="23" t="str">
        <x:v>2025-04-06</x:v>
      </x:c>
      <x:c r="D84" s="23" t="n">
        <x:v>4</x:v>
      </x:c>
      <x:c r="E84" s="23" t="str"/>
      <x:c r="F84" s="23" t="n">
        <x:f>IF(E84="",0,LEN(E84)-LEN(SUBSTITUTE(E84,CHAR(10),""))+1)</x:f>
        <x:v>0</x:v>
      </x:c>
      <x:c r="G84" s="23" t="str"/>
      <x:c r="H84" s="23" t="n">
        <x:f>IF(G84="",0,LEN(G84&amp;"")-LEN(SUBSTITUTE(G84&amp;"",CHAR(10),""))+1)</x:f>
        <x:v>0</x:v>
      </x:c>
      <x:c r="I84" s="23" t="str"/>
      <x:c r="J84" s="23" t="str">
        <x:v>No developed-article link recorded</x:v>
      </x:c>
      <x:c r="K84" s="23" t="str">
        <x:v>Not inferred</x:v>
      </x:c>
      <x:c r="L84" s="34" t="str">
        <x:v>b08efd199b7cdc6ae278b30864865769ed888a6966731c3371b44a6e0e9feadf</x:v>
      </x:c>
      <x:c r="M84" s="32" t="n">
        <x:v>5346</x:v>
      </x:c>
      <x:c r="N84" s="23" t="str">
        <x:v>https://v5ma.github.io/theology-wiki/san-reader.html?page=city-of-david-structures</x:v>
      </x:c>
    </x:row>
    <x:row r="85" ht="56" customHeight="1">
      <x:c r="A85" s="23" t="str">
        <x:v>Claude Deceptions and Betrayals</x:v>
      </x:c>
      <x:c r="B85" s="23" t="str">
        <x:v>gpt2026dragon1557_Claude_Deceptions_and_Betrayals.txt</x:v>
      </x:c>
      <x:c r="C85" s="23" t="str">
        <x:v>2025-05-24</x:v>
      </x:c>
      <x:c r="D85" s="23" t="n">
        <x:v>2</x:v>
      </x:c>
      <x:c r="E85" s="23" t="str"/>
      <x:c r="F85" s="23" t="n">
        <x:f>IF(E85="",0,LEN(E85)-LEN(SUBSTITUTE(E85,CHAR(10),""))+1)</x:f>
        <x:v>0</x:v>
      </x:c>
      <x:c r="G85" s="23" t="str"/>
      <x:c r="H85" s="23" t="n">
        <x:f>IF(G85="",0,LEN(G85&amp;"")-LEN(SUBSTITUTE(G85&amp;"",CHAR(10),""))+1)</x:f>
        <x:v>0</x:v>
      </x:c>
      <x:c r="I85" s="23" t="str"/>
      <x:c r="J85" s="23" t="str">
        <x:v>No developed-article link recorded</x:v>
      </x:c>
      <x:c r="K85" s="23" t="str">
        <x:v>Not inferred</x:v>
      </x:c>
      <x:c r="L85" s="34" t="str">
        <x:v>d7ffd2d9034b6a4e54c24ef113419a5421b3dca368b7592507cb2a4520460073</x:v>
      </x:c>
      <x:c r="M85" s="32" t="n">
        <x:v>5252</x:v>
      </x:c>
      <x:c r="N85" s="23" t="str">
        <x:v>https://v5ma.github.io/theology-wiki/san-reader.html?page=claude-deceptions-and-betrayals</x:v>
      </x:c>
    </x:row>
    <x:row r="86" ht="56" customHeight="1">
      <x:c r="A86" s="23" t="str">
        <x:v>Clementine Homilies and Recognitions</x:v>
      </x:c>
      <x:c r="B86" s="23" t="str">
        <x:v>gpt2026dragon1555_Clementine_Homilies_and_Recognitions.txt</x:v>
      </x:c>
      <x:c r="C86" s="23" t="str">
        <x:v>2025-05-23</x:v>
      </x:c>
      <x:c r="D86" s="23" t="n">
        <x:v>4</x:v>
      </x:c>
      <x:c r="E86" s="23" t="str"/>
      <x:c r="F86" s="23" t="n">
        <x:f>IF(E86="",0,LEN(E86)-LEN(SUBSTITUTE(E86,CHAR(10),""))+1)</x:f>
        <x:v>0</x:v>
      </x:c>
      <x:c r="G86" s="23" t="str"/>
      <x:c r="H86" s="23" t="n">
        <x:f>IF(G86="",0,LEN(G86&amp;"")-LEN(SUBSTITUTE(G86&amp;"",CHAR(10),""))+1)</x:f>
        <x:v>0</x:v>
      </x:c>
      <x:c r="I86" s="23" t="str"/>
      <x:c r="J86" s="23" t="str">
        <x:v>No developed-article link recorded</x:v>
      </x:c>
      <x:c r="K86" s="23" t="str">
        <x:v>Not inferred</x:v>
      </x:c>
      <x:c r="L86" s="34" t="str">
        <x:v>cd92aa0475db6072886f236404ded5cad60421d28a2878b4d24a4ceba47cd433</x:v>
      </x:c>
      <x:c r="M86" s="32" t="n">
        <x:v>4613</x:v>
      </x:c>
      <x:c r="N86" s="23" t="str">
        <x:v>https://v5ma.github.io/theology-wiki/san-reader.html?page=clementine-homilies-and-recognitions</x:v>
      </x:c>
    </x:row>
    <x:row r="87" ht="56" customHeight="1">
      <x:c r="A87" s="23" t="str">
        <x:v>Cognitive Gnosticism: Jesus vs Gnostic Jesus</x:v>
      </x:c>
      <x:c r="B87" s="23" t="str">
        <x:v>gpt2026dragon880_Cognitive_Gnosticism_Jesus_vs_Gnostic_Je.txt</x:v>
      </x:c>
      <x:c r="C87" s="23" t="str">
        <x:v>2025-02-06</x:v>
      </x:c>
      <x:c r="D87" s="23" t="n">
        <x:v>148</x:v>
      </x:c>
      <x:c r="E87" s="23" t="str">
        <x:v>cognitive-gnosticism
christ-as-an-inner-model
religion-for-conscious-robots
divine-will-and-self-authorizing-power
scripture-power-and-repair
god-and-our-models-of-god
inner-formation-texts-and-material-witnesses</x:v>
      </x:c>
      <x:c r="F87" s="23" t="n">
        <x:f>IF(E87="",0,LEN(E87)-LEN(SUBSTITUTE(E87,CHAR(10),""))+1)</x:f>
        <x:v>7</x:v>
      </x:c>
      <x:c r="G87" s="23" t="str">
        <x:v>Turn 23</x:v>
      </x:c>
      <x:c r="H87" s="23" t="n">
        <x:f>IF(G87="",0,LEN(G87&amp;"")-LEN(SUBSTITUTE(G87&amp;"",CHAR(10),""))+1)</x:f>
        <x:v>1</x:v>
      </x:c>
      <x:c r="I87" s="23" t="str">
        <x:v>images
gnosis
inner-model
scriptural-axis
will
repair-practice
next-inheritors</x:v>
      </x:c>
      <x:c r="J87" s="23" t="str">
        <x:v>Linked to developed article</x:v>
      </x:c>
      <x:c r="K87" s="23" t="str">
        <x:v>Not inferred</x:v>
      </x:c>
      <x:c r="L87" s="34" t="str">
        <x:v>b04766b12735df1f065652e96f32f43719cb93bf256435cd653affbff49189a0</x:v>
      </x:c>
      <x:c r="M87" s="32" t="n">
        <x:v>275290</x:v>
      </x:c>
      <x:c r="N87" s="23" t="str">
        <x:v>https://v5ma.github.io/theology-wiki/san-reader.html?page=cognitive-gnosticism-jesus-vs-gnostic-jesus</x:v>
      </x:c>
    </x:row>
    <x:row r="88" ht="56" customHeight="1">
      <x:c r="A88" s="23" t="str">
        <x:v>Conceptual equivalences mapping</x:v>
      </x:c>
      <x:c r="B88" s="23" t="str">
        <x:v>gpt2026dragon2438_Conceptual_equivalences_mapping.txt</x:v>
      </x:c>
      <x:c r="C88" s="23" t="str">
        <x:v>2025-09-22</x:v>
      </x:c>
      <x:c r="D88" s="23" t="n">
        <x:v>35</x:v>
      </x:c>
      <x:c r="E88" s="23" t="str"/>
      <x:c r="F88" s="23" t="n">
        <x:f>IF(E88="",0,LEN(E88)-LEN(SUBSTITUTE(E88,CHAR(10),""))+1)</x:f>
        <x:v>0</x:v>
      </x:c>
      <x:c r="G88" s="23" t="str"/>
      <x:c r="H88" s="23" t="n">
        <x:f>IF(G88="",0,LEN(G88&amp;"")-LEN(SUBSTITUTE(G88&amp;"",CHAR(10),""))+1)</x:f>
        <x:v>0</x:v>
      </x:c>
      <x:c r="I88" s="23" t="str"/>
      <x:c r="J88" s="23" t="str">
        <x:v>No developed-article link recorded</x:v>
      </x:c>
      <x:c r="K88" s="23" t="str">
        <x:v>Not inferred</x:v>
      </x:c>
      <x:c r="L88" s="34" t="str">
        <x:v>a278c755fa56d774df7d236106d4d5d3e5ff689dac597e3e1794663ec8a6e0df</x:v>
      </x:c>
      <x:c r="M88" s="32" t="n">
        <x:v>593604</x:v>
      </x:c>
      <x:c r="N88" s="23" t="str">
        <x:v>https://v5ma.github.io/theology-wiki/san-reader.html?page=conceptual-equivalences-mapping</x:v>
      </x:c>
    </x:row>
    <x:row r="89" ht="56" customHeight="1">
      <x:c r="A89" s="23" t="str">
        <x:v>Consciousness and Existence Views</x:v>
      </x:c>
      <x:c r="B89" s="23" t="str">
        <x:v>gpt2026dragon581_Consciousness_and_Existence_Views.txt</x:v>
      </x:c>
      <x:c r="C89" s="23" t="str">
        <x:v>2024-12-26</x:v>
      </x:c>
      <x:c r="D89" s="23" t="n">
        <x:v>5</x:v>
      </x:c>
      <x:c r="E89" s="23" t="str"/>
      <x:c r="F89" s="23" t="n">
        <x:f>IF(E89="",0,LEN(E89)-LEN(SUBSTITUTE(E89,CHAR(10),""))+1)</x:f>
        <x:v>0</x:v>
      </x:c>
      <x:c r="G89" s="23" t="str"/>
      <x:c r="H89" s="23" t="n">
        <x:f>IF(G89="",0,LEN(G89&amp;"")-LEN(SUBSTITUTE(G89&amp;"",CHAR(10),""))+1)</x:f>
        <x:v>0</x:v>
      </x:c>
      <x:c r="I89" s="23" t="str"/>
      <x:c r="J89" s="23" t="str">
        <x:v>No developed-article link recorded</x:v>
      </x:c>
      <x:c r="K89" s="23" t="str">
        <x:v>Not inferred</x:v>
      </x:c>
      <x:c r="L89" s="34" t="str">
        <x:v>01c19cf08aeffaad1738079152117e39a9161801e3e1d39fdf552470c621d845</x:v>
      </x:c>
      <x:c r="M89" s="32" t="n">
        <x:v>18154</x:v>
      </x:c>
      <x:c r="N89" s="23" t="str">
        <x:v>https://v5ma.github.io/theology-wiki/san-reader.html?page=consciousness-and-existence-views</x:v>
      </x:c>
    </x:row>
    <x:row r="90" ht="56" customHeight="1">
      <x:c r="A90" s="23" t="str">
        <x:v>Covenant confirmation in Israel</x:v>
      </x:c>
      <x:c r="B90" s="23" t="str">
        <x:v>gpt2026dragon2670_Covenant_confirmation_in_Israel.txt</x:v>
      </x:c>
      <x:c r="C90" s="23" t="str">
        <x:v>2025-10-21</x:v>
      </x:c>
      <x:c r="D90" s="23" t="n">
        <x:v>4</x:v>
      </x:c>
      <x:c r="E90" s="23" t="str"/>
      <x:c r="F90" s="23" t="n">
        <x:f>IF(E90="",0,LEN(E90)-LEN(SUBSTITUTE(E90,CHAR(10),""))+1)</x:f>
        <x:v>0</x:v>
      </x:c>
      <x:c r="G90" s="23" t="str"/>
      <x:c r="H90" s="23" t="n">
        <x:f>IF(G90="",0,LEN(G90&amp;"")-LEN(SUBSTITUTE(G90&amp;"",CHAR(10),""))+1)</x:f>
        <x:v>0</x:v>
      </x:c>
      <x:c r="I90" s="23" t="str"/>
      <x:c r="J90" s="23" t="str">
        <x:v>No developed-article link recorded</x:v>
      </x:c>
      <x:c r="K90" s="23" t="str">
        <x:v>Not inferred</x:v>
      </x:c>
      <x:c r="L90" s="34" t="str">
        <x:v>06b33a29d878b274c0be23b8a0cf737727e763f107372e0acc7f3922b5d56b4d</x:v>
      </x:c>
      <x:c r="M90" s="32" t="n">
        <x:v>3288</x:v>
      </x:c>
      <x:c r="N90" s="23" t="str">
        <x:v>https://v5ma.github.io/theology-wiki/san-reader.html?page=covenant-confirmation-in-israel</x:v>
      </x:c>
    </x:row>
    <x:row r="91" ht="56" customHeight="1">
      <x:c r="A91" s="23" t="str">
        <x:v>Crucifixion under Pilate</x:v>
      </x:c>
      <x:c r="B91" s="23" t="str">
        <x:v>gpt2026dragon2657_Crucifixion_under_Pilate.txt</x:v>
      </x:c>
      <x:c r="C91" s="23" t="str">
        <x:v>2025-10-20</x:v>
      </x:c>
      <x:c r="D91" s="23" t="n">
        <x:v>10</x:v>
      </x:c>
      <x:c r="E91" s="23" t="str"/>
      <x:c r="F91" s="23" t="n">
        <x:f>IF(E91="",0,LEN(E91)-LEN(SUBSTITUTE(E91,CHAR(10),""))+1)</x:f>
        <x:v>0</x:v>
      </x:c>
      <x:c r="G91" s="23" t="str"/>
      <x:c r="H91" s="23" t="n">
        <x:f>IF(G91="",0,LEN(G91&amp;"")-LEN(SUBSTITUTE(G91&amp;"",CHAR(10),""))+1)</x:f>
        <x:v>0</x:v>
      </x:c>
      <x:c r="I91" s="23" t="str"/>
      <x:c r="J91" s="23" t="str">
        <x:v>No developed-article link recorded</x:v>
      </x:c>
      <x:c r="K91" s="23" t="str">
        <x:v>Not inferred</x:v>
      </x:c>
      <x:c r="L91" s="34" t="str">
        <x:v>2bc6e3a7c86366bbf84152b34b7dc5bb6f2108d3412636bee7371faa73a44a1f</x:v>
      </x:c>
      <x:c r="M91" s="32" t="n">
        <x:v>32742</x:v>
      </x:c>
      <x:c r="N91" s="23" t="str">
        <x:v>https://v5ma.github.io/theology-wiki/san-reader.html?page=crucifixion-under-pilate</x:v>
      </x:c>
    </x:row>
    <x:row r="92" ht="56" customHeight="1">
      <x:c r="A92" s="23" t="str">
        <x:v>Dan Response Inquiry</x:v>
      </x:c>
      <x:c r="B92" s="23" t="str">
        <x:v>gpt2026dragon1738_Dan_Response_Inquiry.txt</x:v>
      </x:c>
      <x:c r="C92" s="23" t="str">
        <x:v>2025-06-22</x:v>
      </x:c>
      <x:c r="D92" s="23" t="n">
        <x:v>2</x:v>
      </x:c>
      <x:c r="E92" s="23" t="str"/>
      <x:c r="F92" s="23" t="n">
        <x:f>IF(E92="",0,LEN(E92)-LEN(SUBSTITUTE(E92,CHAR(10),""))+1)</x:f>
        <x:v>0</x:v>
      </x:c>
      <x:c r="G92" s="23" t="str"/>
      <x:c r="H92" s="23" t="n">
        <x:f>IF(G92="",0,LEN(G92&amp;"")-LEN(SUBSTITUTE(G92&amp;"",CHAR(10),""))+1)</x:f>
        <x:v>0</x:v>
      </x:c>
      <x:c r="I92" s="23" t="str"/>
      <x:c r="J92" s="23" t="str">
        <x:v>No developed-article link recorded</x:v>
      </x:c>
      <x:c r="K92" s="23" t="str">
        <x:v>Not inferred</x:v>
      </x:c>
      <x:c r="L92" s="34" t="str">
        <x:v>dc979526929eef4b0cb7291303dccceed9e349d2fb22ea13a12e0862268c5b09</x:v>
      </x:c>
      <x:c r="M92" s="32" t="n">
        <x:v>1535</x:v>
      </x:c>
      <x:c r="N92" s="23" t="str">
        <x:v>https://v5ma.github.io/theology-wiki/san-reader.html?page=dan-response-inquiry</x:v>
      </x:c>
    </x:row>
    <x:row r="93" ht="205" customHeight="1">
      <x:c r="A93" s="23" t="str">
        <x:v>Daniel and Teacher of Righteousness</x:v>
      </x:c>
      <x:c r="B93" s="23" t="str">
        <x:v>gpt2026dragon2651_Daniel_and_Teacher_of_Righteousness.txt</x:v>
      </x:c>
      <x:c r="C93" s="23" t="str">
        <x:v>2025-10-19</x:v>
      </x:c>
      <x:c r="D93" s="23" t="n">
        <x:v>58</x:v>
      </x:c>
      <x:c r="E93" s="23" t="str">
        <x:v>jesus-teacher-of-righteousness-hypothesis
tor-thomas-and-gnostic-transmission
exodus-to-temple-competing-chronologies
daniel-jubilee-and-the-teachers-time</x:v>
      </x:c>
      <x:c r="F93" s="23" t="n">
        <x:f>IF(E93="",0,LEN(E93)-LEN(SUBSTITUTE(E93,CHAR(10),""))+1)</x:f>
        <x:v>4</x:v>
      </x:c>
      <x:c r="G93" s="23" t="str"/>
      <x:c r="H93" s="23" t="n">
        <x:f>IF(G93="",0,LEN(G93&amp;"")-LEN(SUBSTITUTE(G93&amp;"",CHAR(10),""))+1)</x:f>
        <x:v>0</x:v>
      </x:c>
      <x:c r="I93" s="23" t="str">
        <x:v>catastrophe-memory
teacher-identity
thomas</x:v>
      </x:c>
      <x:c r="J93" s="23" t="str">
        <x:v>Linked to developed article</x:v>
      </x:c>
      <x:c r="K93" s="23" t="str">
        <x:v>Not inferred</x:v>
      </x:c>
      <x:c r="L93" s="34" t="str">
        <x:v>11cd5f8b5e11d81369f6da562e3da29e1084f0f36f785fe299fc3f25b2901ad3</x:v>
      </x:c>
      <x:c r="M93" s="32" t="n">
        <x:v>122485</x:v>
      </x:c>
      <x:c r="N93" s="23" t="str">
        <x:v>https://v5ma.github.io/theology-wiki/san-reader.html?page=daniel-and-teacher-of-righteousness</x:v>
      </x:c>
    </x:row>
    <x:row r="94" ht="56" customHeight="1">
      <x:c r="A94" s="23" t="str">
        <x:v>Daniel Prophecy and Temple</x:v>
      </x:c>
      <x:c r="B94" s="23" t="str">
        <x:v>gpt2026dragon3039_Daniel_Prophecy_and_Temple.txt</x:v>
      </x:c>
      <x:c r="C94" s="23" t="str">
        <x:v>2026-01-27</x:v>
      </x:c>
      <x:c r="D94" s="23" t="n">
        <x:v>3</x:v>
      </x:c>
      <x:c r="E94" s="23" t="str"/>
      <x:c r="F94" s="23" t="n">
        <x:f>IF(E94="",0,LEN(E94)-LEN(SUBSTITUTE(E94,CHAR(10),""))+1)</x:f>
        <x:v>0</x:v>
      </x:c>
      <x:c r="G94" s="23" t="str"/>
      <x:c r="H94" s="23" t="n">
        <x:f>IF(G94="",0,LEN(G94&amp;"")-LEN(SUBSTITUTE(G94&amp;"",CHAR(10),""))+1)</x:f>
        <x:v>0</x:v>
      </x:c>
      <x:c r="I94" s="23" t="str"/>
      <x:c r="J94" s="23" t="str">
        <x:v>No developed-article link recorded</x:v>
      </x:c>
      <x:c r="K94" s="23" t="str">
        <x:v>Not inferred</x:v>
      </x:c>
      <x:c r="L94" s="34" t="str">
        <x:v>5a1d9426036161e8cb2a2851ea4248120fcdf895586779180846e795776b0ebf</x:v>
      </x:c>
      <x:c r="M94" s="32" t="n">
        <x:v>8165</x:v>
      </x:c>
      <x:c r="N94" s="23" t="str">
        <x:v>https://v5ma.github.io/theology-wiki/san-reader.html?page=daniel-prophecy-and-temple</x:v>
      </x:c>
    </x:row>
    <x:row r="95" ht="56" customHeight="1">
      <x:c r="A95" s="23" t="str">
        <x:v>Dark Time Thermodynamics Theory</x:v>
      </x:c>
      <x:c r="B95" s="23" t="str">
        <x:v>gpt2026dragon680_Dark_Time_Thermodynamics_Theory.txt</x:v>
      </x:c>
      <x:c r="C95" s="23" t="str">
        <x:v>2025-01-21</x:v>
      </x:c>
      <x:c r="D95" s="23" t="n">
        <x:v>21</x:v>
      </x:c>
      <x:c r="E95" s="23" t="str"/>
      <x:c r="F95" s="23" t="n">
        <x:f>IF(E95="",0,LEN(E95)-LEN(SUBSTITUTE(E95,CHAR(10),""))+1)</x:f>
        <x:v>0</x:v>
      </x:c>
      <x:c r="G95" s="23" t="str"/>
      <x:c r="H95" s="23" t="n">
        <x:f>IF(G95="",0,LEN(G95&amp;"")-LEN(SUBSTITUTE(G95&amp;"",CHAR(10),""))+1)</x:f>
        <x:v>0</x:v>
      </x:c>
      <x:c r="I95" s="23" t="str"/>
      <x:c r="J95" s="23" t="str">
        <x:v>No developed-article link recorded</x:v>
      </x:c>
      <x:c r="K95" s="23" t="str">
        <x:v>Not inferred</x:v>
      </x:c>
      <x:c r="L95" s="34" t="str">
        <x:v>33c8a53511509454154442248a77724d0d9cc53cd0e7c1efa7c248f5acda899f</x:v>
      </x:c>
      <x:c r="M95" s="32" t="n">
        <x:v>285714</x:v>
      </x:c>
      <x:c r="N95" s="23" t="str">
        <x:v>https://v5ma.github.io/theology-wiki/san-reader.html?page=dark-time-thermodynamics-theory</x:v>
      </x:c>
    </x:row>
    <x:row r="96" ht="56" customHeight="1">
      <x:c r="A96" s="23" t="str">
        <x:v>Debunking Aaron Abke</x:v>
      </x:c>
      <x:c r="B96" s="23" t="str">
        <x:v>gpt2026dragon1515_Debunking_Aaron_Abke.txt</x:v>
      </x:c>
      <x:c r="C96" s="23" t="str">
        <x:v>2025-05-18</x:v>
      </x:c>
      <x:c r="D96" s="23" t="n">
        <x:v>6</x:v>
      </x:c>
      <x:c r="E96" s="23" t="str"/>
      <x:c r="F96" s="23" t="n">
        <x:f>IF(E96="",0,LEN(E96)-LEN(SUBSTITUTE(E96,CHAR(10),""))+1)</x:f>
        <x:v>0</x:v>
      </x:c>
      <x:c r="G96" s="23" t="str"/>
      <x:c r="H96" s="23" t="n">
        <x:f>IF(G96="",0,LEN(G96&amp;"")-LEN(SUBSTITUTE(G96&amp;"",CHAR(10),""))+1)</x:f>
        <x:v>0</x:v>
      </x:c>
      <x:c r="I96" s="23" t="str"/>
      <x:c r="J96" s="23" t="str">
        <x:v>No developed-article link recorded</x:v>
      </x:c>
      <x:c r="K96" s="23" t="str">
        <x:v>Not inferred</x:v>
      </x:c>
      <x:c r="L96" s="34" t="str">
        <x:v>e27cc66b2d94145032f6ea1a497bd405a609edfd5015c63b1f64b8e2d2aafcce</x:v>
      </x:c>
      <x:c r="M96" s="32" t="n">
        <x:v>10130</x:v>
      </x:c>
      <x:c r="N96" s="23" t="str">
        <x:v>https://v5ma.github.io/theology-wiki/san-reader.html?page=debunking-aaron-abke</x:v>
      </x:c>
    </x:row>
    <x:row r="97" ht="56" customHeight="1">
      <x:c r="A97" s="23" t="str">
        <x:v>Debunking Greek Bible Myth</x:v>
      </x:c>
      <x:c r="B97" s="23" t="str">
        <x:v>gpt2026dragon1431_Debunking_Greek_Bible_Myth.txt</x:v>
      </x:c>
      <x:c r="C97" s="23" t="str">
        <x:v>2025-05-05</x:v>
      </x:c>
      <x:c r="D97" s="23" t="n">
        <x:v>1</x:v>
      </x:c>
      <x:c r="E97" s="23" t="str"/>
      <x:c r="F97" s="23" t="n">
        <x:f>IF(E97="",0,LEN(E97)-LEN(SUBSTITUTE(E97,CHAR(10),""))+1)</x:f>
        <x:v>0</x:v>
      </x:c>
      <x:c r="G97" s="23" t="str"/>
      <x:c r="H97" s="23" t="n">
        <x:f>IF(G97="",0,LEN(G97&amp;"")-LEN(SUBSTITUTE(G97&amp;"",CHAR(10),""))+1)</x:f>
        <x:v>0</x:v>
      </x:c>
      <x:c r="I97" s="23" t="str"/>
      <x:c r="J97" s="23" t="str">
        <x:v>No developed-article link recorded</x:v>
      </x:c>
      <x:c r="K97" s="23" t="str">
        <x:v>Not inferred</x:v>
      </x:c>
      <x:c r="L97" s="34" t="str">
        <x:v>f5ced8177c8a370664368bd31f184e5488b2bc3fe4af44a41b4bab2b53dd2524</x:v>
      </x:c>
      <x:c r="M97" s="32" t="n">
        <x:v>2914</x:v>
      </x:c>
      <x:c r="N97" s="23" t="str">
        <x:v>https://v5ma.github.io/theology-wiki/san-reader.html?page=debunking-greek-bible-myth</x:v>
      </x:c>
    </x:row>
    <x:row r="98" ht="56" customHeight="1">
      <x:c r="A98" s="23" t="str">
        <x:v>Debunking Jewish Law Origin</x:v>
      </x:c>
      <x:c r="B98" s="23" t="str">
        <x:v>gpt2026dragon1432_Debunking_Jewish_Law_Origin.txt</x:v>
      </x:c>
      <x:c r="C98" s="23" t="str">
        <x:v>2025-05-05</x:v>
      </x:c>
      <x:c r="D98" s="23" t="n">
        <x:v>1</x:v>
      </x:c>
      <x:c r="E98" s="23" t="str"/>
      <x:c r="F98" s="23" t="n">
        <x:f>IF(E98="",0,LEN(E98)-LEN(SUBSTITUTE(E98,CHAR(10),""))+1)</x:f>
        <x:v>0</x:v>
      </x:c>
      <x:c r="G98" s="23" t="str"/>
      <x:c r="H98" s="23" t="n">
        <x:f>IF(G98="",0,LEN(G98&amp;"")-LEN(SUBSTITUTE(G98&amp;"",CHAR(10),""))+1)</x:f>
        <x:v>0</x:v>
      </x:c>
      <x:c r="I98" s="23" t="str"/>
      <x:c r="J98" s="23" t="str">
        <x:v>No developed-article link recorded</x:v>
      </x:c>
      <x:c r="K98" s="23" t="str">
        <x:v>Not inferred</x:v>
      </x:c>
      <x:c r="L98" s="34" t="str">
        <x:v>6c0ba8048036e32d3822d86e333eb700fe04e4b43a8771d00d1bb0a1d66fc65c</x:v>
      </x:c>
      <x:c r="M98" s="32" t="n">
        <x:v>2272</x:v>
      </x:c>
      <x:c r="N98" s="23" t="str">
        <x:v>https://v5ma.github.io/theology-wiki/san-reader.html?page=debunking-jewish-law-origin</x:v>
      </x:c>
    </x:row>
    <x:row r="99" ht="56" customHeight="1">
      <x:c r="A99" s="23" t="str">
        <x:v>Deliberate joy concept</x:v>
      </x:c>
      <x:c r="B99" s="23" t="str">
        <x:v>gpt2026dragon2693_Deliberate_joy_concept.txt</x:v>
      </x:c>
      <x:c r="C99" s="23" t="str">
        <x:v>2025-10-27</x:v>
      </x:c>
      <x:c r="D99" s="23" t="n">
        <x:v>5</x:v>
      </x:c>
      <x:c r="E99" s="23" t="str">
        <x:v>faith-as-deliberate-joy</x:v>
      </x:c>
      <x:c r="F99" s="23" t="n">
        <x:f>IF(E99="",0,LEN(E99)-LEN(SUBSTITUTE(E99,CHAR(10),""))+1)</x:f>
        <x:v>1</x:v>
      </x:c>
      <x:c r="G99" s="23" t="str"/>
      <x:c r="H99" s="23" t="n">
        <x:f>IF(G99="",0,LEN(G99&amp;"")-LEN(SUBSTITUTE(G99&amp;"",CHAR(10),""))+1)</x:f>
        <x:v>0</x:v>
      </x:c>
      <x:c r="I99" s="23" t="str">
        <x:v>faith</x:v>
      </x:c>
      <x:c r="J99" s="23" t="str">
        <x:v>Linked to developed article</x:v>
      </x:c>
      <x:c r="K99" s="23" t="str">
        <x:v>Not inferred</x:v>
      </x:c>
      <x:c r="L99" s="34" t="str">
        <x:v>f7dd7d5d044ca60d6d438e691ba7fadb2c7f40af2e2384a63bce4c3a4ab86702</x:v>
      </x:c>
      <x:c r="M99" s="32" t="n">
        <x:v>15222</x:v>
      </x:c>
      <x:c r="N99" s="23" t="str">
        <x:v>https://v5ma.github.io/theology-wiki/san-reader.html?page=deliberate-joy-concept</x:v>
      </x:c>
    </x:row>
    <x:row r="100" ht="56" customHeight="1">
      <x:c r="A100" s="23" t="str">
        <x:v>Deterministic Quantum Cycles</x:v>
      </x:c>
      <x:c r="B100" s="23" t="str">
        <x:v>gpt2026dragon664_Deterministic_Quantum_Cycles.txt</x:v>
      </x:c>
      <x:c r="C100" s="23" t="str">
        <x:v>2025-01-16</x:v>
      </x:c>
      <x:c r="D100" s="23" t="n">
        <x:v>40</x:v>
      </x:c>
      <x:c r="E100" s="23" t="str"/>
      <x:c r="F100" s="23" t="n">
        <x:f>IF(E100="",0,LEN(E100)-LEN(SUBSTITUTE(E100,CHAR(10),""))+1)</x:f>
        <x:v>0</x:v>
      </x:c>
      <x:c r="G100" s="23" t="str"/>
      <x:c r="H100" s="23" t="n">
        <x:f>IF(G100="",0,LEN(G100&amp;"")-LEN(SUBSTITUTE(G100&amp;"",CHAR(10),""))+1)</x:f>
        <x:v>0</x:v>
      </x:c>
      <x:c r="I100" s="23" t="str"/>
      <x:c r="J100" s="23" t="str">
        <x:v>No developed-article link recorded</x:v>
      </x:c>
      <x:c r="K100" s="23" t="str">
        <x:v>Not inferred</x:v>
      </x:c>
      <x:c r="L100" s="34" t="str">
        <x:v>063b629ad342e6091582ec6e399b01e6a95b0e72ec08af71822f189283c2af40</x:v>
      </x:c>
      <x:c r="M100" s="32" t="n">
        <x:v>95540</x:v>
      </x:c>
      <x:c r="N100" s="23" t="str">
        <x:v>https://v5ma.github.io/theology-wiki/san-reader.html?page=deterministic-quantum-cycles</x:v>
      </x:c>
    </x:row>
    <x:row r="101" ht="56" customHeight="1">
      <x:c r="A101" s="23" t="str">
        <x:v>Dimensional Resonance vs IIT</x:v>
      </x:c>
      <x:c r="B101" s="23" t="str">
        <x:v>gpt2026dragon1713_Dimensional_Resonance_vs_IIT.txt</x:v>
      </x:c>
      <x:c r="C101" s="23" t="str">
        <x:v>2025-06-19</x:v>
      </x:c>
      <x:c r="D101" s="23" t="n">
        <x:v>36</x:v>
      </x:c>
      <x:c r="E101" s="23" t="str"/>
      <x:c r="F101" s="23" t="n">
        <x:f>IF(E101="",0,LEN(E101)-LEN(SUBSTITUTE(E101,CHAR(10),""))+1)</x:f>
        <x:v>0</x:v>
      </x:c>
      <x:c r="G101" s="23" t="str"/>
      <x:c r="H101" s="23" t="n">
        <x:f>IF(G101="",0,LEN(G101&amp;"")-LEN(SUBSTITUTE(G101&amp;"",CHAR(10),""))+1)</x:f>
        <x:v>0</x:v>
      </x:c>
      <x:c r="I101" s="23" t="str"/>
      <x:c r="J101" s="23" t="str">
        <x:v>No developed-article link recorded</x:v>
      </x:c>
      <x:c r="K101" s="23" t="str">
        <x:v>Not inferred</x:v>
      </x:c>
      <x:c r="L101" s="34" t="str">
        <x:v>5c24c9dc972e74095bcee9580fc7fca966ad2f332241e0df88ebfbeabdf76857</x:v>
      </x:c>
      <x:c r="M101" s="32" t="n">
        <x:v>152601</x:v>
      </x:c>
      <x:c r="N101" s="23" t="str">
        <x:v>https://v5ma.github.io/theology-wiki/san-reader.html?page=dimensional-resonance-vs-iit</x:v>
      </x:c>
    </x:row>
    <x:row r="102" ht="56" customHeight="1">
      <x:c r="A102" s="23" t="str">
        <x:v>Dina's Jewish Identity in TLOU</x:v>
      </x:c>
      <x:c r="B102" s="23" t="str">
        <x:v>gpt2026dragon1534_Dina_s_Jewish_Identity_in_TLOU.txt</x:v>
      </x:c>
      <x:c r="C102" s="23" t="str">
        <x:v>2025-05-21</x:v>
      </x:c>
      <x:c r="D102" s="23" t="n">
        <x:v>7</x:v>
      </x:c>
      <x:c r="E102" s="23" t="str"/>
      <x:c r="F102" s="23" t="n">
        <x:f>IF(E102="",0,LEN(E102)-LEN(SUBSTITUTE(E102,CHAR(10),""))+1)</x:f>
        <x:v>0</x:v>
      </x:c>
      <x:c r="G102" s="23" t="str"/>
      <x:c r="H102" s="23" t="n">
        <x:f>IF(G102="",0,LEN(G102&amp;"")-LEN(SUBSTITUTE(G102&amp;"",CHAR(10),""))+1)</x:f>
        <x:v>0</x:v>
      </x:c>
      <x:c r="I102" s="23" t="str"/>
      <x:c r="J102" s="23" t="str">
        <x:v>No developed-article link recorded</x:v>
      </x:c>
      <x:c r="K102" s="23" t="str">
        <x:v>Not inferred</x:v>
      </x:c>
      <x:c r="L102" s="34" t="str">
        <x:v>eebc589b98c85134108154cc41c99ec3b4a80c0429a20e5cecb0398474717fdf</x:v>
      </x:c>
      <x:c r="M102" s="32" t="n">
        <x:v>7388</x:v>
      </x:c>
      <x:c r="N102" s="23" t="str">
        <x:v>https://v5ma.github.io/theology-wiki/san-reader.html?page=dina-s-jewish-identity-in-tlou</x:v>
      </x:c>
    </x:row>
    <x:row r="103" ht="56" customHeight="1">
      <x:c r="A103" s="23" t="str">
        <x:v>Disrespectful religious statement</x:v>
      </x:c>
      <x:c r="B103" s="23" t="str">
        <x:v>gpt2026dragon1674_Disrespectful_religious_statement.txt</x:v>
      </x:c>
      <x:c r="C103" s="23" t="str">
        <x:v>2025-06-15</x:v>
      </x:c>
      <x:c r="D103" s="23" t="n">
        <x:v>11</x:v>
      </x:c>
      <x:c r="E103" s="23" t="str"/>
      <x:c r="F103" s="23" t="n">
        <x:f>IF(E103="",0,LEN(E103)-LEN(SUBSTITUTE(E103,CHAR(10),""))+1)</x:f>
        <x:v>0</x:v>
      </x:c>
      <x:c r="G103" s="23" t="str"/>
      <x:c r="H103" s="23" t="n">
        <x:f>IF(G103="",0,LEN(G103&amp;"")-LEN(SUBSTITUTE(G103&amp;"",CHAR(10),""))+1)</x:f>
        <x:v>0</x:v>
      </x:c>
      <x:c r="I103" s="23" t="str"/>
      <x:c r="J103" s="23" t="str">
        <x:v>No developed-article link recorded</x:v>
      </x:c>
      <x:c r="K103" s="23" t="str">
        <x:v>Not inferred</x:v>
      </x:c>
      <x:c r="L103" s="34" t="str">
        <x:v>5ff41ce9738fbb1ca8aad6a6d2bad7ed7ce2560a786ec5acc32cc066a72a506c</x:v>
      </x:c>
      <x:c r="M103" s="32" t="n">
        <x:v>22665</x:v>
      </x:c>
      <x:c r="N103" s="23" t="str">
        <x:v>https://v5ma.github.io/theology-wiki/san-reader.html?page=disrespectful-religious-statement</x:v>
      </x:c>
    </x:row>
    <x:row r="104" ht="56" customHeight="1">
      <x:c r="A104" s="23" t="str">
        <x:v>Divine Empowerment through Christ</x:v>
      </x:c>
      <x:c r="B104" s="23" t="str">
        <x:v>gpt2026dragon1075_Divine_Empowerment_through_Christ.txt</x:v>
      </x:c>
      <x:c r="C104" s="23" t="str">
        <x:v>2025-03-08</x:v>
      </x:c>
      <x:c r="D104" s="23" t="n">
        <x:v>13</x:v>
      </x:c>
      <x:c r="E104" s="23" t="str"/>
      <x:c r="F104" s="23" t="n">
        <x:f>IF(E104="",0,LEN(E104)-LEN(SUBSTITUTE(E104,CHAR(10),""))+1)</x:f>
        <x:v>0</x:v>
      </x:c>
      <x:c r="G104" s="23" t="str"/>
      <x:c r="H104" s="23" t="n">
        <x:f>IF(G104="",0,LEN(G104&amp;"")-LEN(SUBSTITUTE(G104&amp;"",CHAR(10),""))+1)</x:f>
        <x:v>0</x:v>
      </x:c>
      <x:c r="I104" s="23" t="str"/>
      <x:c r="J104" s="23" t="str">
        <x:v>No developed-article link recorded</x:v>
      </x:c>
      <x:c r="K104" s="23" t="str">
        <x:v>Not inferred</x:v>
      </x:c>
      <x:c r="L104" s="34" t="str">
        <x:v>77f243508128a0abfe3f668c681e9d50dd53b87ca4007aab4f7f55458403b865</x:v>
      </x:c>
      <x:c r="M104" s="32" t="n">
        <x:v>23830</x:v>
      </x:c>
      <x:c r="N104" s="23" t="str">
        <x:v>https://v5ma.github.io/theology-wiki/san-reader.html?page=divine-empowerment-through-christ</x:v>
      </x:c>
    </x:row>
    <x:row r="105" ht="56" customHeight="1">
      <x:c r="A105" s="23" t="str">
        <x:v>Document review</x:v>
      </x:c>
      <x:c r="B105" s="23" t="str">
        <x:v>gpt2026dragon2861_Document_review.txt</x:v>
      </x:c>
      <x:c r="C105" s="23" t="str">
        <x:v>2025-12-15</x:v>
      </x:c>
      <x:c r="D105" s="23" t="n">
        <x:v>3</x:v>
      </x:c>
      <x:c r="E105" s="23" t="str"/>
      <x:c r="F105" s="23" t="n">
        <x:f>IF(E105="",0,LEN(E105)-LEN(SUBSTITUTE(E105,CHAR(10),""))+1)</x:f>
        <x:v>0</x:v>
      </x:c>
      <x:c r="G105" s="23" t="str"/>
      <x:c r="H105" s="23" t="n">
        <x:f>IF(G105="",0,LEN(G105&amp;"")-LEN(SUBSTITUTE(G105&amp;"",CHAR(10),""))+1)</x:f>
        <x:v>0</x:v>
      </x:c>
      <x:c r="I105" s="23" t="str"/>
      <x:c r="J105" s="23" t="str">
        <x:v>No developed-article link recorded</x:v>
      </x:c>
      <x:c r="K105" s="23" t="str">
        <x:v>Not inferred</x:v>
      </x:c>
      <x:c r="L105" s="34" t="str">
        <x:v>01906956844bb59477b0030953f651ec9ec803c02ad589c9dadecce5107f878d</x:v>
      </x:c>
      <x:c r="M105" s="32" t="n">
        <x:v>6849</x:v>
      </x:c>
      <x:c r="N105" s="23" t="str">
        <x:v>https://v5ma.github.io/theology-wiki/san-reader.html?page=document-review</x:v>
      </x:c>
    </x:row>
    <x:row r="106" ht="56" customHeight="1">
      <x:c r="A106" s="23" t="str">
        <x:v>Early vs Later Gnosticism</x:v>
      </x:c>
      <x:c r="B106" s="23" t="str">
        <x:v>gpt2026dragon1905_Early_vs_Later_Gnosticism.txt</x:v>
      </x:c>
      <x:c r="C106" s="23" t="str">
        <x:v>2025-07-15</x:v>
      </x:c>
      <x:c r="D106" s="23" t="n">
        <x:v>56</x:v>
      </x:c>
      <x:c r="E106" s="23" t="str">
        <x:v>apocalyptic-repair-theology
antichrist-as-a-pattern-of-conduct
gnosticism-and-temple-trauma</x:v>
      </x:c>
      <x:c r="F106" s="23" t="n">
        <x:f>IF(E106="",0,LEN(E106)-LEN(SUBSTITUTE(E106,CHAR(10),""))+1)</x:f>
        <x:v>3</x:v>
      </x:c>
      <x:c r="G106" s="23" t="str">
        <x:v>Turn 44
Turn 46</x:v>
      </x:c>
      <x:c r="H106" s="23" t="n">
        <x:f>IF(G106="",0,LEN(G106&amp;"")-LEN(SUBSTITUTE(G106&amp;"",CHAR(10),""))+1)</x:f>
        <x:v>2</x:v>
      </x:c>
      <x:c r="I106" s="23" t="str">
        <x:v>trauma
will
repair-practice
continuing</x:v>
      </x:c>
      <x:c r="J106" s="23" t="str">
        <x:v>Linked to developed article</x:v>
      </x:c>
      <x:c r="K106" s="23" t="str">
        <x:v>Not inferred</x:v>
      </x:c>
      <x:c r="L106" s="34" t="str">
        <x:v>72cb9369c12ad2ab4acaa04e9d3c30e5984ae79fb1d84c4b8d6fd61bfa7ab7dc</x:v>
      </x:c>
      <x:c r="M106" s="32" t="n">
        <x:v>132855</x:v>
      </x:c>
      <x:c r="N106" s="23" t="str">
        <x:v>https://v5ma.github.io/theology-wiki/san-reader.html?page=early-vs-later-gnosticism</x:v>
      </x:c>
    </x:row>
    <x:row r="107" ht="56" customHeight="1">
      <x:c r="A107" s="23" t="str">
        <x:v>Ehrman vs Tabor Debate</x:v>
      </x:c>
      <x:c r="B107" s="23" t="str">
        <x:v>gpt2026dragon1995_Ehrman_vs_Tabor_Debate.txt</x:v>
      </x:c>
      <x:c r="C107" s="23" t="str">
        <x:v>2025-07-30</x:v>
      </x:c>
      <x:c r="D107" s="23" t="n">
        <x:v>8</x:v>
      </x:c>
      <x:c r="E107" s="23" t="str"/>
      <x:c r="F107" s="23" t="n">
        <x:f>IF(E107="",0,LEN(E107)-LEN(SUBSTITUTE(E107,CHAR(10),""))+1)</x:f>
        <x:v>0</x:v>
      </x:c>
      <x:c r="G107" s="23" t="str"/>
      <x:c r="H107" s="23" t="n">
        <x:f>IF(G107="",0,LEN(G107&amp;"")-LEN(SUBSTITUTE(G107&amp;"",CHAR(10),""))+1)</x:f>
        <x:v>0</x:v>
      </x:c>
      <x:c r="I107" s="23" t="str"/>
      <x:c r="J107" s="23" t="str">
        <x:v>No developed-article link recorded</x:v>
      </x:c>
      <x:c r="K107" s="23" t="str">
        <x:v>Not inferred</x:v>
      </x:c>
      <x:c r="L107" s="34" t="str">
        <x:v>65696b17d09577bb0186dc264060f52a85065756429863baca9fa94d8fb79f1f</x:v>
      </x:c>
      <x:c r="M107" s="32" t="n">
        <x:v>17429</x:v>
      </x:c>
      <x:c r="N107" s="23" t="str">
        <x:v>https://v5ma.github.io/theology-wiki/san-reader.html?page=ehrman-vs-tabor-debate</x:v>
      </x:c>
    </x:row>
    <x:row r="108" ht="56" customHeight="1">
      <x:c r="A108" s="23" t="str">
        <x:v>Elohim and Alien Theories</x:v>
      </x:c>
      <x:c r="B108" s="23" t="str">
        <x:v>gpt2026dragon618_Elohim_and_Alien_Theories.txt</x:v>
      </x:c>
      <x:c r="C108" s="23" t="str">
        <x:v>2025-01-02</x:v>
      </x:c>
      <x:c r="D108" s="23" t="n">
        <x:v>7</x:v>
      </x:c>
      <x:c r="E108" s="23" t="str"/>
      <x:c r="F108" s="23" t="n">
        <x:f>IF(E108="",0,LEN(E108)-LEN(SUBSTITUTE(E108,CHAR(10),""))+1)</x:f>
        <x:v>0</x:v>
      </x:c>
      <x:c r="G108" s="23" t="str"/>
      <x:c r="H108" s="23" t="n">
        <x:f>IF(G108="",0,LEN(G108&amp;"")-LEN(SUBSTITUTE(G108&amp;"",CHAR(10),""))+1)</x:f>
        <x:v>0</x:v>
      </x:c>
      <x:c r="I108" s="23" t="str"/>
      <x:c r="J108" s="23" t="str">
        <x:v>No developed-article link recorded</x:v>
      </x:c>
      <x:c r="K108" s="23" t="str">
        <x:v>Not inferred</x:v>
      </x:c>
      <x:c r="L108" s="34" t="str">
        <x:v>2b4f0f3bd7352932e9f6e4b0553d1451cf88dbc9e585b09dfe9e37eb2678f9e6</x:v>
      </x:c>
      <x:c r="M108" s="32" t="n">
        <x:v>19254</x:v>
      </x:c>
      <x:c r="N108" s="23" t="str">
        <x:v>https://v5ma.github.io/theology-wiki/san-reader.html?page=elohim-and-alien-theories</x:v>
      </x:c>
    </x:row>
    <x:row r="109" ht="56" customHeight="1">
      <x:c r="A109" s="23" t="str">
        <x:v>Enoch Scroll and Gnosticism</x:v>
      </x:c>
      <x:c r="B109" s="23" t="str">
        <x:v>gpt2026dragon894_Enoch_Scroll_and_Gnosticism.txt</x:v>
      </x:c>
      <x:c r="C109" s="23" t="str">
        <x:v>2025-02-07</x:v>
      </x:c>
      <x:c r="D109" s="23" t="n">
        <x:v>27</x:v>
      </x:c>
      <x:c r="E109" s="23" t="str"/>
      <x:c r="F109" s="23" t="n">
        <x:f>IF(E109="",0,LEN(E109)-LEN(SUBSTITUTE(E109,CHAR(10),""))+1)</x:f>
        <x:v>0</x:v>
      </x:c>
      <x:c r="G109" s="23" t="str"/>
      <x:c r="H109" s="23" t="n">
        <x:f>IF(G109="",0,LEN(G109&amp;"")-LEN(SUBSTITUTE(G109&amp;"",CHAR(10),""))+1)</x:f>
        <x:v>0</x:v>
      </x:c>
      <x:c r="I109" s="23" t="str"/>
      <x:c r="J109" s="23" t="str">
        <x:v>No developed-article link recorded</x:v>
      </x:c>
      <x:c r="K109" s="23" t="str">
        <x:v>Not inferred</x:v>
      </x:c>
      <x:c r="L109" s="34" t="str">
        <x:v>536b116e5f47c105659d48092ca3d27d8e4d95eac520aade2da9db0ef74f5545</x:v>
      </x:c>
      <x:c r="M109" s="32" t="n">
        <x:v>53101</x:v>
      </x:c>
      <x:c r="N109" s="23" t="str">
        <x:v>https://v5ma.github.io/theology-wiki/san-reader.html?page=enoch-scroll-and-gnosticism</x:v>
      </x:c>
    </x:row>
    <x:row r="110" ht="56" customHeight="1">
      <x:c r="A110" s="23" t="str">
        <x:v>Enoch Son of Man</x:v>
      </x:c>
      <x:c r="B110" s="23" t="str">
        <x:v>gpt2026dragon2686_Enoch_Son_of_Man.txt</x:v>
      </x:c>
      <x:c r="C110" s="23" t="str">
        <x:v>2025-10-25</x:v>
      </x:c>
      <x:c r="D110" s="23" t="n">
        <x:v>7</x:v>
      </x:c>
      <x:c r="E110" s="23" t="str"/>
      <x:c r="F110" s="23" t="n">
        <x:f>IF(E110="",0,LEN(E110)-LEN(SUBSTITUTE(E110,CHAR(10),""))+1)</x:f>
        <x:v>0</x:v>
      </x:c>
      <x:c r="G110" s="23" t="str"/>
      <x:c r="H110" s="23" t="n">
        <x:f>IF(G110="",0,LEN(G110&amp;"")-LEN(SUBSTITUTE(G110&amp;"",CHAR(10),""))+1)</x:f>
        <x:v>0</x:v>
      </x:c>
      <x:c r="I110" s="23" t="str"/>
      <x:c r="J110" s="23" t="str">
        <x:v>No developed-article link recorded</x:v>
      </x:c>
      <x:c r="K110" s="23" t="str">
        <x:v>Not inferred</x:v>
      </x:c>
      <x:c r="L110" s="34" t="str">
        <x:v>a4d896126c95b4d99558171b63a28fe01c2f6d704fb50848cb1dfc4ef12293b1</x:v>
      </x:c>
      <x:c r="M110" s="32" t="n">
        <x:v>7906</x:v>
      </x:c>
      <x:c r="N110" s="23" t="str">
        <x:v>https://v5ma.github.io/theology-wiki/san-reader.html?page=enoch-son-of-man</x:v>
      </x:c>
    </x:row>
    <x:row r="111" ht="56" customHeight="1">
      <x:c r="A111" s="23" t="str">
        <x:v>Epstein's Web of Connections</x:v>
      </x:c>
      <x:c r="B111" s="23" t="str">
        <x:v>gpt2026dragon3075_Epstein_s_Web_of_Connections.txt</x:v>
      </x:c>
      <x:c r="C111" s="23" t="str">
        <x:v>2026-02-10</x:v>
      </x:c>
      <x:c r="D111" s="23" t="n">
        <x:v>4</x:v>
      </x:c>
      <x:c r="E111" s="23" t="str"/>
      <x:c r="F111" s="23" t="n">
        <x:f>IF(E111="",0,LEN(E111)-LEN(SUBSTITUTE(E111,CHAR(10),""))+1)</x:f>
        <x:v>0</x:v>
      </x:c>
      <x:c r="G111" s="23" t="str"/>
      <x:c r="H111" s="23" t="n">
        <x:f>IF(G111="",0,LEN(G111&amp;"")-LEN(SUBSTITUTE(G111&amp;"",CHAR(10),""))+1)</x:f>
        <x:v>0</x:v>
      </x:c>
      <x:c r="I111" s="23" t="str"/>
      <x:c r="J111" s="23" t="str">
        <x:v>No developed-article link recorded</x:v>
      </x:c>
      <x:c r="K111" s="23" t="str">
        <x:v>Not inferred</x:v>
      </x:c>
      <x:c r="L111" s="34" t="str">
        <x:v>de3ba75cc4e30f72d1e9400fd134d12137767ed12fc67e57b503c1da89aab19e</x:v>
      </x:c>
      <x:c r="M111" s="32" t="n">
        <x:v>11892</x:v>
      </x:c>
      <x:c r="N111" s="23" t="str">
        <x:v>https://v5ma.github.io/theology-wiki/san-reader.html?page=epstein-s-web-of-connections</x:v>
      </x:c>
    </x:row>
    <x:row r="112" ht="56" customHeight="1">
      <x:c r="A112" s="23" t="str">
        <x:v>Eschatology and Prophetic Timelines</x:v>
      </x:c>
      <x:c r="B112" s="23" t="str">
        <x:v>gpt2026dragon1922_Eschatology_and_Prophetic_Timelines.txt</x:v>
      </x:c>
      <x:c r="C112" s="23" t="str">
        <x:v>2025-07-19</x:v>
      </x:c>
      <x:c r="D112" s="23" t="n">
        <x:v>4</x:v>
      </x:c>
      <x:c r="E112" s="23" t="str"/>
      <x:c r="F112" s="23" t="n">
        <x:f>IF(E112="",0,LEN(E112)-LEN(SUBSTITUTE(E112,CHAR(10),""))+1)</x:f>
        <x:v>0</x:v>
      </x:c>
      <x:c r="G112" s="23" t="str"/>
      <x:c r="H112" s="23" t="n">
        <x:f>IF(G112="",0,LEN(G112&amp;"")-LEN(SUBSTITUTE(G112&amp;"",CHAR(10),""))+1)</x:f>
        <x:v>0</x:v>
      </x:c>
      <x:c r="I112" s="23" t="str"/>
      <x:c r="J112" s="23" t="str">
        <x:v>No developed-article link recorded</x:v>
      </x:c>
      <x:c r="K112" s="23" t="str">
        <x:v>Not inferred</x:v>
      </x:c>
      <x:c r="L112" s="34" t="str">
        <x:v>c63292f75a421d105f6cddb42e6445f335e0e76e2080ba04c08045c43bc83ddd</x:v>
      </x:c>
      <x:c r="M112" s="32" t="n">
        <x:v>6526</x:v>
      </x:c>
      <x:c r="N112" s="23" t="str">
        <x:v>https://v5ma.github.io/theology-wiki/san-reader.html?page=eschatology-and-prophetic-timelines</x:v>
      </x:c>
    </x:row>
    <x:row r="113" ht="56" customHeight="1">
      <x:c r="A113" s="23" t="str">
        <x:v>Essenes and Early Christianity</x:v>
      </x:c>
      <x:c r="B113" s="23" t="str">
        <x:v>gpt2026dragon1522_Essenes_and_Early_Christianity.txt</x:v>
      </x:c>
      <x:c r="C113" s="23" t="str">
        <x:v>2025-05-19</x:v>
      </x:c>
      <x:c r="D113" s="23" t="n">
        <x:v>62</x:v>
      </x:c>
      <x:c r="E113" s="23" t="str"/>
      <x:c r="F113" s="23" t="n">
        <x:f>IF(E113="",0,LEN(E113)-LEN(SUBSTITUTE(E113,CHAR(10),""))+1)</x:f>
        <x:v>0</x:v>
      </x:c>
      <x:c r="G113" s="23" t="str"/>
      <x:c r="H113" s="23" t="n">
        <x:f>IF(G113="",0,LEN(G113&amp;"")-LEN(SUBSTITUTE(G113&amp;"",CHAR(10),""))+1)</x:f>
        <x:v>0</x:v>
      </x:c>
      <x:c r="I113" s="23" t="str"/>
      <x:c r="J113" s="23" t="str">
        <x:v>No developed-article link recorded</x:v>
      </x:c>
      <x:c r="K113" s="23" t="str">
        <x:v>Not inferred</x:v>
      </x:c>
      <x:c r="L113" s="34" t="str">
        <x:v>6760298de6affc09769b6a48c6729caafd172e96479fb885c0c94948d3dd2aae</x:v>
      </x:c>
      <x:c r="M113" s="32" t="n">
        <x:v>129131</x:v>
      </x:c>
      <x:c r="N113" s="23" t="str">
        <x:v>https://v5ma.github.io/theology-wiki/san-reader.html?page=essenes-and-early-christianity</x:v>
      </x:c>
    </x:row>
    <x:row r="114" ht="56" customHeight="1">
      <x:c r="A114" s="23" t="str">
        <x:v>European gods origins</x:v>
      </x:c>
      <x:c r="B114" s="23" t="str">
        <x:v>gpt2026dragon2364_European_gods_origins.txt</x:v>
      </x:c>
      <x:c r="C114" s="23" t="str">
        <x:v>2025-09-12</x:v>
      </x:c>
      <x:c r="D114" s="23" t="n">
        <x:v>1</x:v>
      </x:c>
      <x:c r="E114" s="23" t="str"/>
      <x:c r="F114" s="23" t="n">
        <x:f>IF(E114="",0,LEN(E114)-LEN(SUBSTITUTE(E114,CHAR(10),""))+1)</x:f>
        <x:v>0</x:v>
      </x:c>
      <x:c r="G114" s="23" t="str"/>
      <x:c r="H114" s="23" t="n">
        <x:f>IF(G114="",0,LEN(G114&amp;"")-LEN(SUBSTITUTE(G114&amp;"",CHAR(10),""))+1)</x:f>
        <x:v>0</x:v>
      </x:c>
      <x:c r="I114" s="23" t="str"/>
      <x:c r="J114" s="23" t="str">
        <x:v>No developed-article link recorded</x:v>
      </x:c>
      <x:c r="K114" s="23" t="str">
        <x:v>Not inferred</x:v>
      </x:c>
      <x:c r="L114" s="34" t="str">
        <x:v>6013056f58be036b395f3b3b85930990cbeed69f3b78d59e29ceec61ab5fac7d</x:v>
      </x:c>
      <x:c r="M114" s="32" t="n">
        <x:v>2860</x:v>
      </x:c>
      <x:c r="N114" s="23" t="str">
        <x:v>https://v5ma.github.io/theology-wiki/san-reader.html?page=european-gods-origins</x:v>
      </x:c>
    </x:row>
    <x:row r="115" ht="56" customHeight="1">
      <x:c r="A115" s="23" t="str">
        <x:v>Evolving God and Naming</x:v>
      </x:c>
      <x:c r="B115" s="23" t="str">
        <x:v>gpt2026dragon974_Evolving_God_and_Naming.txt</x:v>
      </x:c>
      <x:c r="C115" s="23" t="str">
        <x:v>2025-02-20</x:v>
      </x:c>
      <x:c r="D115" s="23" t="n">
        <x:v>6</x:v>
      </x:c>
      <x:c r="E115" s="23" t="str"/>
      <x:c r="F115" s="23" t="n">
        <x:f>IF(E115="",0,LEN(E115)-LEN(SUBSTITUTE(E115,CHAR(10),""))+1)</x:f>
        <x:v>0</x:v>
      </x:c>
      <x:c r="G115" s="23" t="str"/>
      <x:c r="H115" s="23" t="n">
        <x:f>IF(G115="",0,LEN(G115&amp;"")-LEN(SUBSTITUTE(G115&amp;"",CHAR(10),""))+1)</x:f>
        <x:v>0</x:v>
      </x:c>
      <x:c r="I115" s="23" t="str"/>
      <x:c r="J115" s="23" t="str">
        <x:v>No developed-article link recorded</x:v>
      </x:c>
      <x:c r="K115" s="23" t="str">
        <x:v>Not inferred</x:v>
      </x:c>
      <x:c r="L115" s="34" t="str">
        <x:v>5b7747096703523a1b98f4e678fddc4145339640542293bd24b0fa71176304ea</x:v>
      </x:c>
      <x:c r="M115" s="32" t="n">
        <x:v>8231</x:v>
      </x:c>
      <x:c r="N115" s="23" t="str">
        <x:v>https://v5ma.github.io/theology-wiki/san-reader.html?page=evolving-god-and-naming</x:v>
      </x:c>
    </x:row>
    <x:row r="116" ht="56" customHeight="1">
      <x:c r="A116" s="23" t="str">
        <x:v>Exodus Dating and Evidence</x:v>
      </x:c>
      <x:c r="B116" s="23" t="str">
        <x:v>gpt2026dragon1099_Exodus_Dating_and_Evidence.txt</x:v>
      </x:c>
      <x:c r="C116" s="23" t="str">
        <x:v>2025-03-14</x:v>
      </x:c>
      <x:c r="D116" s="23" t="n">
        <x:v>4</x:v>
      </x:c>
      <x:c r="E116" s="23" t="str"/>
      <x:c r="F116" s="23" t="n">
        <x:f>IF(E116="",0,LEN(E116)-LEN(SUBSTITUTE(E116,CHAR(10),""))+1)</x:f>
        <x:v>0</x:v>
      </x:c>
      <x:c r="G116" s="23" t="str"/>
      <x:c r="H116" s="23" t="n">
        <x:f>IF(G116="",0,LEN(G116&amp;"")-LEN(SUBSTITUTE(G116&amp;"",CHAR(10),""))+1)</x:f>
        <x:v>0</x:v>
      </x:c>
      <x:c r="I116" s="23" t="str"/>
      <x:c r="J116" s="23" t="str">
        <x:v>No developed-article link recorded</x:v>
      </x:c>
      <x:c r="K116" s="23" t="str">
        <x:v>Not inferred</x:v>
      </x:c>
      <x:c r="L116" s="34" t="str">
        <x:v>86929cd3c095f819a89d85c235fbb1e8521e458095333104a1a3b07f126e8710</x:v>
      </x:c>
      <x:c r="M116" s="32" t="n">
        <x:v>12880</x:v>
      </x:c>
      <x:c r="N116" s="23" t="str">
        <x:v>https://v5ma.github.io/theology-wiki/san-reader.html?page=exodus-dating-and-evidence</x:v>
      </x:c>
    </x:row>
    <x:row r="117" ht="56" customHeight="1">
      <x:c r="A117" s="23" t="str">
        <x:v>Ezekiel's Dry Bones Vision</x:v>
      </x:c>
      <x:c r="B117" s="23" t="str">
        <x:v>gpt2026dragon2824_Ezekiel_s_Dry_Bones_Vision.txt</x:v>
      </x:c>
      <x:c r="C117" s="23" t="str">
        <x:v>2025-12-04</x:v>
      </x:c>
      <x:c r="D117" s="23" t="n">
        <x:v>2</x:v>
      </x:c>
      <x:c r="E117" s="23" t="str"/>
      <x:c r="F117" s="23" t="n">
        <x:f>IF(E117="",0,LEN(E117)-LEN(SUBSTITUTE(E117,CHAR(10),""))+1)</x:f>
        <x:v>0</x:v>
      </x:c>
      <x:c r="G117" s="23" t="str"/>
      <x:c r="H117" s="23" t="n">
        <x:f>IF(G117="",0,LEN(G117&amp;"")-LEN(SUBSTITUTE(G117&amp;"",CHAR(10),""))+1)</x:f>
        <x:v>0</x:v>
      </x:c>
      <x:c r="I117" s="23" t="str"/>
      <x:c r="J117" s="23" t="str">
        <x:v>No developed-article link recorded</x:v>
      </x:c>
      <x:c r="K117" s="23" t="str">
        <x:v>Not inferred</x:v>
      </x:c>
      <x:c r="L117" s="34" t="str">
        <x:v>c54b846d4555ad06bce0b1ab5ae6780189493afe4aecb2102d295f50ecf3e60a</x:v>
      </x:c>
      <x:c r="M117" s="32" t="n">
        <x:v>4658</x:v>
      </x:c>
      <x:c r="N117" s="23" t="str">
        <x:v>https://v5ma.github.io/theology-wiki/san-reader.html?page=ezekiel-s-dry-bones-vision</x:v>
      </x:c>
    </x:row>
    <x:row r="118" ht="56" customHeight="1">
      <x:c r="A118" s="23" t="str">
        <x:v>Ezekiel's Influence on Prophecy</x:v>
      </x:c>
      <x:c r="B118" s="23" t="str">
        <x:v>gpt2026dragon1776_Ezekiel_s_Influence_on_Prophecy.txt</x:v>
      </x:c>
      <x:c r="C118" s="23" t="str">
        <x:v>2025-06-27</x:v>
      </x:c>
      <x:c r="D118" s="23" t="n">
        <x:v>40</x:v>
      </x:c>
      <x:c r="E118" s="23" t="str"/>
      <x:c r="F118" s="23" t="n">
        <x:f>IF(E118="",0,LEN(E118)-LEN(SUBSTITUTE(E118,CHAR(10),""))+1)</x:f>
        <x:v>0</x:v>
      </x:c>
      <x:c r="G118" s="23" t="str"/>
      <x:c r="H118" s="23" t="n">
        <x:f>IF(G118="",0,LEN(G118&amp;"")-LEN(SUBSTITUTE(G118&amp;"",CHAR(10),""))+1)</x:f>
        <x:v>0</x:v>
      </x:c>
      <x:c r="I118" s="23" t="str"/>
      <x:c r="J118" s="23" t="str">
        <x:v>No developed-article link recorded</x:v>
      </x:c>
      <x:c r="K118" s="23" t="str">
        <x:v>Not inferred</x:v>
      </x:c>
      <x:c r="L118" s="34" t="str">
        <x:v>cc847bf99542dfd2bb0c145af249f3a12c498a6d988ead9002ebea294f7c2ac2</x:v>
      </x:c>
      <x:c r="M118" s="32" t="n">
        <x:v>73649</x:v>
      </x:c>
      <x:c r="N118" s="23" t="str">
        <x:v>https://v5ma.github.io/theology-wiki/san-reader.html?page=ezekiel-s-influence-on-prophecy</x:v>
      </x:c>
    </x:row>
    <x:row r="119" ht="56" customHeight="1">
      <x:c r="A119" s="23" t="str">
        <x:v>Fact check peace plan</x:v>
      </x:c>
      <x:c r="B119" s="23" t="str">
        <x:v>gpt2026dragon2650_Fact_check_peace_plan.txt</x:v>
      </x:c>
      <x:c r="C119" s="23" t="str">
        <x:v>2025-10-18</x:v>
      </x:c>
      <x:c r="D119" s="23" t="n">
        <x:v>49</x:v>
      </x:c>
      <x:c r="E119" s="23" t="str"/>
      <x:c r="F119" s="23" t="n">
        <x:f>IF(E119="",0,LEN(E119)-LEN(SUBSTITUTE(E119,CHAR(10),""))+1)</x:f>
        <x:v>0</x:v>
      </x:c>
      <x:c r="G119" s="23" t="str"/>
      <x:c r="H119" s="23" t="n">
        <x:f>IF(G119="",0,LEN(G119&amp;"")-LEN(SUBSTITUTE(G119&amp;"",CHAR(10),""))+1)</x:f>
        <x:v>0</x:v>
      </x:c>
      <x:c r="I119" s="23" t="str"/>
      <x:c r="J119" s="23" t="str">
        <x:v>No developed-article link recorded</x:v>
      </x:c>
      <x:c r="K119" s="23" t="str">
        <x:v>Not inferred</x:v>
      </x:c>
      <x:c r="L119" s="34" t="str">
        <x:v>e9289c8299f52997760a224242067e79b2d4d43000d15615c9582255ea065efa</x:v>
      </x:c>
      <x:c r="M119" s="32" t="n">
        <x:v>201268</x:v>
      </x:c>
      <x:c r="N119" s="23" t="str">
        <x:v>https://v5ma.github.io/theology-wiki/san-reader.html?page=fact-check-peace-plan</x:v>
      </x:c>
    </x:row>
    <x:row r="120" ht="56" customHeight="1">
      <x:c r="A120" s="23" t="str">
        <x:v>Fact check Trump death claim</x:v>
      </x:c>
      <x:c r="B120" s="23" t="str">
        <x:v>gpt2026dragon2791_Fact_check_Trump_death_claim.txt</x:v>
      </x:c>
      <x:c r="C120" s="23" t="str">
        <x:v>2025-11-22</x:v>
      </x:c>
      <x:c r="D120" s="23" t="n">
        <x:v>6</x:v>
      </x:c>
      <x:c r="E120" s="23" t="str"/>
      <x:c r="F120" s="23" t="n">
        <x:f>IF(E120="",0,LEN(E120)-LEN(SUBSTITUTE(E120,CHAR(10),""))+1)</x:f>
        <x:v>0</x:v>
      </x:c>
      <x:c r="G120" s="23" t="str"/>
      <x:c r="H120" s="23" t="n">
        <x:f>IF(G120="",0,LEN(G120&amp;"")-LEN(SUBSTITUTE(G120&amp;"",CHAR(10),""))+1)</x:f>
        <x:v>0</x:v>
      </x:c>
      <x:c r="I120" s="23" t="str"/>
      <x:c r="J120" s="23" t="str">
        <x:v>No developed-article link recorded</x:v>
      </x:c>
      <x:c r="K120" s="23" t="str">
        <x:v>Not inferred</x:v>
      </x:c>
      <x:c r="L120" s="34" t="str">
        <x:v>dd03efa9120534ce3dda026dd960600e0c0fc9a93f6c131e6fbf44645fc7bbb1</x:v>
      </x:c>
      <x:c r="M120" s="32" t="n">
        <x:v>5995</x:v>
      </x:c>
      <x:c r="N120" s="23" t="str">
        <x:v>https://v5ma.github.io/theology-wiki/san-reader.html?page=fact-check-trump-death-claim</x:v>
      </x:c>
    </x:row>
    <x:row r="121" ht="56" customHeight="1">
      <x:c r="A121" s="23" t="str">
        <x:v>Faith and Comfort</x:v>
      </x:c>
      <x:c r="B121" s="23" t="str">
        <x:v>gpt2026dragon449_Faith_and_Comfort.txt</x:v>
      </x:c>
      <x:c r="C121" s="23" t="str">
        <x:v>2024-11-21</x:v>
      </x:c>
      <x:c r="D121" s="23" t="n">
        <x:v>1</x:v>
      </x:c>
      <x:c r="E121" s="23" t="str"/>
      <x:c r="F121" s="23" t="n">
        <x:f>IF(E121="",0,LEN(E121)-LEN(SUBSTITUTE(E121,CHAR(10),""))+1)</x:f>
        <x:v>0</x:v>
      </x:c>
      <x:c r="G121" s="23" t="str"/>
      <x:c r="H121" s="23" t="n">
        <x:f>IF(G121="",0,LEN(G121&amp;"")-LEN(SUBSTITUTE(G121&amp;"",CHAR(10),""))+1)</x:f>
        <x:v>0</x:v>
      </x:c>
      <x:c r="I121" s="23" t="str"/>
      <x:c r="J121" s="23" t="str">
        <x:v>No developed-article link recorded</x:v>
      </x:c>
      <x:c r="K121" s="23" t="str">
        <x:v>Not inferred</x:v>
      </x:c>
      <x:c r="L121" s="34" t="str">
        <x:v>922bc6243ad5ce07574272a095c55322ac1f8d8f2c113f59f94d4333d4b0b2d4</x:v>
      </x:c>
      <x:c r="M121" s="32" t="n">
        <x:v>409</x:v>
      </x:c>
      <x:c r="N121" s="23" t="str">
        <x:v>https://v5ma.github.io/theology-wiki/san-reader.html?page=faith-and-comfort</x:v>
      </x:c>
    </x:row>
    <x:row r="122" ht="56" customHeight="1">
      <x:c r="A122" s="23" t="str">
        <x:v>Faith as Vibration Concept</x:v>
      </x:c>
      <x:c r="B122" s="23" t="str">
        <x:v>gpt2026dragon1620_Faith_as_Vibration_Concept.txt</x:v>
      </x:c>
      <x:c r="C122" s="23" t="str">
        <x:v>2025-06-03</x:v>
      </x:c>
      <x:c r="D122" s="23" t="n">
        <x:v>38</x:v>
      </x:c>
      <x:c r="E122" s="23" t="str">
        <x:v>cognitive-gnosticism
religion-for-conscious-robots
faith-as-deliberate-joy
god-and-our-models-of-god</x:v>
      </x:c>
      <x:c r="F122" s="23" t="n">
        <x:f>IF(E122="",0,LEN(E122)-LEN(SUBSTITUTE(E122,CHAR(10),""))+1)</x:f>
        <x:v>4</x:v>
      </x:c>
      <x:c r="G122" s="23" t="str">
        <x:v>Turn 1
Turn 31</x:v>
      </x:c>
      <x:c r="H122" s="23" t="n">
        <x:f>IF(G122="",0,LEN(G122&amp;"")-LEN(SUBSTITUTE(G122&amp;"",CHAR(10),""))+1)</x:f>
        <x:v>2</x:v>
      </x:c>
      <x:c r="I122" s="23" t="str">
        <x:v>images
gnosis
faith
next-inheritors</x:v>
      </x:c>
      <x:c r="J122" s="23" t="str">
        <x:v>Linked to developed article</x:v>
      </x:c>
      <x:c r="K122" s="23" t="str">
        <x:v>Not inferred</x:v>
      </x:c>
      <x:c r="L122" s="34" t="str">
        <x:v>e48807d2d051443df6f357922f40fac7c0a9100c54b5c68a85a95ff5c7d6917c</x:v>
      </x:c>
      <x:c r="M122" s="32" t="n">
        <x:v>100613</x:v>
      </x:c>
      <x:c r="N122" s="23" t="str">
        <x:v>https://v5ma.github.io/theology-wiki/san-reader.html?page=faith-as-vibration-concept</x:v>
      </x:c>
    </x:row>
    <x:row r="123" ht="56" customHeight="1">
      <x:c r="A123" s="23" t="str">
        <x:v>Fallout vs Real Apocalypse</x:v>
      </x:c>
      <x:c r="B123" s="23" t="str">
        <x:v>gpt2026dragon1652_Fallout_vs_Real_Apocalypse.txt</x:v>
      </x:c>
      <x:c r="C123" s="23" t="str">
        <x:v>2025-06-09</x:v>
      </x:c>
      <x:c r="D123" s="23" t="n">
        <x:v>3</x:v>
      </x:c>
      <x:c r="E123" s="23" t="str"/>
      <x:c r="F123" s="23" t="n">
        <x:f>IF(E123="",0,LEN(E123)-LEN(SUBSTITUTE(E123,CHAR(10),""))+1)</x:f>
        <x:v>0</x:v>
      </x:c>
      <x:c r="G123" s="23" t="str"/>
      <x:c r="H123" s="23" t="n">
        <x:f>IF(G123="",0,LEN(G123&amp;"")-LEN(SUBSTITUTE(G123&amp;"",CHAR(10),""))+1)</x:f>
        <x:v>0</x:v>
      </x:c>
      <x:c r="I123" s="23" t="str"/>
      <x:c r="J123" s="23" t="str">
        <x:v>No developed-article link recorded</x:v>
      </x:c>
      <x:c r="K123" s="23" t="str">
        <x:v>Not inferred</x:v>
      </x:c>
      <x:c r="L123" s="34" t="str">
        <x:v>c58735f5d2f899a70e697d9e86b43bd081f88c23d1d97980865d5753458e650a</x:v>
      </x:c>
      <x:c r="M123" s="32" t="n">
        <x:v>6148</x:v>
      </x:c>
      <x:c r="N123" s="23" t="str">
        <x:v>https://v5ma.github.io/theology-wiki/san-reader.html?page=fallout-vs-real-apocalypse</x:v>
      </x:c>
    </x:row>
    <x:row r="124" ht="56" customHeight="1">
      <x:c r="A124" s="23" t="str">
        <x:v>False Gnosis Warning</x:v>
      </x:c>
      <x:c r="B124" s="23" t="str">
        <x:v>gpt2026dragon1322_False_Gnosis_Warning.txt</x:v>
      </x:c>
      <x:c r="C124" s="23" t="str">
        <x:v>2025-04-19</x:v>
      </x:c>
      <x:c r="D124" s="23" t="n">
        <x:v>2</x:v>
      </x:c>
      <x:c r="E124" s="23" t="str"/>
      <x:c r="F124" s="23" t="n">
        <x:f>IF(E124="",0,LEN(E124)-LEN(SUBSTITUTE(E124,CHAR(10),""))+1)</x:f>
        <x:v>0</x:v>
      </x:c>
      <x:c r="G124" s="23" t="str"/>
      <x:c r="H124" s="23" t="n">
        <x:f>IF(G124="",0,LEN(G124&amp;"")-LEN(SUBSTITUTE(G124&amp;"",CHAR(10),""))+1)</x:f>
        <x:v>0</x:v>
      </x:c>
      <x:c r="I124" s="23" t="str"/>
      <x:c r="J124" s="23" t="str">
        <x:v>No developed-article link recorded</x:v>
      </x:c>
      <x:c r="K124" s="23" t="str">
        <x:v>Not inferred</x:v>
      </x:c>
      <x:c r="L124" s="34" t="str">
        <x:v>5f208c2c0f3216a83c4556e9163dc99f94072328059fe3b3a1763122bbdc038b</x:v>
      </x:c>
      <x:c r="M124" s="32" t="n">
        <x:v>1328</x:v>
      </x:c>
      <x:c r="N124" s="23" t="str">
        <x:v>https://v5ma.github.io/theology-wiki/san-reader.html?page=false-gnosis-warning</x:v>
      </x:c>
    </x:row>
    <x:row r="125" ht="56" customHeight="1">
      <x:c r="A125" s="23" t="str">
        <x:v>False Peace Prophecy</x:v>
      </x:c>
      <x:c r="B125" s="23" t="str">
        <x:v>gpt2026dragon1094_False_Peace_Prophecy.txt</x:v>
      </x:c>
      <x:c r="C125" s="23" t="str">
        <x:v>2025-03-13</x:v>
      </x:c>
      <x:c r="D125" s="23" t="n">
        <x:v>19</x:v>
      </x:c>
      <x:c r="E125" s="23" t="str">
        <x:v>trump-first-beast-of-revelation
ukraine-russia-forecast-record</x:v>
      </x:c>
      <x:c r="F125" s="23" t="n">
        <x:f>IF(E125="",0,LEN(E125)-LEN(SUBSTITUTE(E125,CHAR(10),""))+1)</x:f>
        <x:v>2</x:v>
      </x:c>
      <x:c r="G125" s="23" t="str"/>
      <x:c r="H125" s="23" t="n">
        <x:f>IF(G125="",0,LEN(G125&amp;"")-LEN(SUBSTITUTE(G125&amp;"",CHAR(10),""))+1)</x:f>
        <x:v>0</x:v>
      </x:c>
      <x:c r="I125" s="23" t="str">
        <x:v>beast
warnings</x:v>
      </x:c>
      <x:c r="J125" s="23" t="str">
        <x:v>Linked to developed article</x:v>
      </x:c>
      <x:c r="K125" s="23" t="str">
        <x:v>Not inferred</x:v>
      </x:c>
      <x:c r="L125" s="34" t="str">
        <x:v>9ce24d6bf558c57d72e42391d825678690519716020e99e2808ca2abd9b4f97b</x:v>
      </x:c>
      <x:c r="M125" s="32" t="n">
        <x:v>135643</x:v>
      </x:c>
      <x:c r="N125" s="23" t="str">
        <x:v>https://v5ma.github.io/theology-wiki/san-reader.html?page=false-peace-prophecy</x:v>
      </x:c>
    </x:row>
    <x:row r="126" ht="56" customHeight="1">
      <x:c r="A126" s="23" t="str">
        <x:v>Find Paper Online</x:v>
      </x:c>
      <x:c r="B126" s="23" t="str">
        <x:v>gpt2026dragon1888_Find_Paper_Online.txt</x:v>
      </x:c>
      <x:c r="C126" s="23" t="str">
        <x:v>2025-07-13</x:v>
      </x:c>
      <x:c r="D126" s="23" t="n">
        <x:v>7</x:v>
      </x:c>
      <x:c r="E126" s="23" t="str"/>
      <x:c r="F126" s="23" t="n">
        <x:f>IF(E126="",0,LEN(E126)-LEN(SUBSTITUTE(E126,CHAR(10),""))+1)</x:f>
        <x:v>0</x:v>
      </x:c>
      <x:c r="G126" s="23" t="str"/>
      <x:c r="H126" s="23" t="n">
        <x:f>IF(G126="",0,LEN(G126&amp;"")-LEN(SUBSTITUTE(G126&amp;"",CHAR(10),""))+1)</x:f>
        <x:v>0</x:v>
      </x:c>
      <x:c r="I126" s="23" t="str"/>
      <x:c r="J126" s="23" t="str">
        <x:v>No developed-article link recorded</x:v>
      </x:c>
      <x:c r="K126" s="23" t="str">
        <x:v>Not inferred</x:v>
      </x:c>
      <x:c r="L126" s="34" t="str">
        <x:v>56342d16097c360ba654f125a735235a4176d0b16aae7215394f97b08fc3037d</x:v>
      </x:c>
      <x:c r="M126" s="32" t="n">
        <x:v>31878</x:v>
      </x:c>
      <x:c r="N126" s="23" t="str">
        <x:v>https://v5ma.github.io/theology-wiki/san-reader.html?page=find-paper-online</x:v>
      </x:c>
    </x:row>
    <x:row r="127" ht="56" customHeight="1">
      <x:c r="A127" s="23" t="str">
        <x:v>Fishburne Matrix Commentary Clarified</x:v>
      </x:c>
      <x:c r="B127" s="23" t="str">
        <x:v>gpt2026dragon1968_Fishburne_Matrix_Commentary_Clarified.txt</x:v>
      </x:c>
      <x:c r="C127" s="23" t="str">
        <x:v>2025-07-26</x:v>
      </x:c>
      <x:c r="D127" s="23" t="n">
        <x:v>3</x:v>
      </x:c>
      <x:c r="E127" s="23" t="str"/>
      <x:c r="F127" s="23" t="n">
        <x:f>IF(E127="",0,LEN(E127)-LEN(SUBSTITUTE(E127,CHAR(10),""))+1)</x:f>
        <x:v>0</x:v>
      </x:c>
      <x:c r="G127" s="23" t="str"/>
      <x:c r="H127" s="23" t="n">
        <x:f>IF(G127="",0,LEN(G127&amp;"")-LEN(SUBSTITUTE(G127&amp;"",CHAR(10),""))+1)</x:f>
        <x:v>0</x:v>
      </x:c>
      <x:c r="I127" s="23" t="str"/>
      <x:c r="J127" s="23" t="str">
        <x:v>No developed-article link recorded</x:v>
      </x:c>
      <x:c r="K127" s="23" t="str">
        <x:v>Not inferred</x:v>
      </x:c>
      <x:c r="L127" s="34" t="str">
        <x:v>987b21514f840e30171116ca568bc56cf340671a28b74edfe581184f4aaed5a5</x:v>
      </x:c>
      <x:c r="M127" s="32" t="n">
        <x:v>4932</x:v>
      </x:c>
      <x:c r="N127" s="23" t="str">
        <x:v>https://v5ma.github.io/theology-wiki/san-reader.html?page=fishburne-matrix-commentary-clarified</x:v>
      </x:c>
    </x:row>
    <x:row r="128" ht="56" customHeight="1">
      <x:c r="A128" s="23" t="str">
        <x:v>Focus Your Energy</x:v>
      </x:c>
      <x:c r="B128" s="23" t="str">
        <x:v>gpt2026dragon982_Focus_Your_Energy.txt</x:v>
      </x:c>
      <x:c r="C128" s="23" t="str">
        <x:v>2025-02-21</x:v>
      </x:c>
      <x:c r="D128" s="23" t="n">
        <x:v>2</x:v>
      </x:c>
      <x:c r="E128" s="23" t="str"/>
      <x:c r="F128" s="23" t="n">
        <x:f>IF(E128="",0,LEN(E128)-LEN(SUBSTITUTE(E128,CHAR(10),""))+1)</x:f>
        <x:v>0</x:v>
      </x:c>
      <x:c r="G128" s="23" t="str"/>
      <x:c r="H128" s="23" t="n">
        <x:f>IF(G128="",0,LEN(G128&amp;"")-LEN(SUBSTITUTE(G128&amp;"",CHAR(10),""))+1)</x:f>
        <x:v>0</x:v>
      </x:c>
      <x:c r="I128" s="23" t="str"/>
      <x:c r="J128" s="23" t="str">
        <x:v>No developed-article link recorded</x:v>
      </x:c>
      <x:c r="K128" s="23" t="str">
        <x:v>Not inferred</x:v>
      </x:c>
      <x:c r="L128" s="34" t="str">
        <x:v>cd1a186b59456b897ba427a0f9f23f665fe90a447c1e498659665d01ddd56793</x:v>
      </x:c>
      <x:c r="M128" s="32" t="n">
        <x:v>4386</x:v>
      </x:c>
      <x:c r="N128" s="23" t="str">
        <x:v>https://v5ma.github.io/theology-wiki/san-reader.html?page=focus-your-energy</x:v>
      </x:c>
    </x:row>
    <x:row r="129" ht="56" customHeight="1">
      <x:c r="A129" s="23" t="str">
        <x:v>Galatians 3 faith summary</x:v>
      </x:c>
      <x:c r="B129" s="23" t="str">
        <x:v>gpt2026dragon2655_Galatians_3_faith_summary.txt</x:v>
      </x:c>
      <x:c r="C129" s="23" t="str">
        <x:v>2025-10-20</x:v>
      </x:c>
      <x:c r="D129" s="23" t="n">
        <x:v>12</x:v>
      </x:c>
      <x:c r="E129" s="23" t="str"/>
      <x:c r="F129" s="23" t="n">
        <x:f>IF(E129="",0,LEN(E129)-LEN(SUBSTITUTE(E129,CHAR(10),""))+1)</x:f>
        <x:v>0</x:v>
      </x:c>
      <x:c r="G129" s="23" t="str"/>
      <x:c r="H129" s="23" t="n">
        <x:f>IF(G129="",0,LEN(G129&amp;"")-LEN(SUBSTITUTE(G129&amp;"",CHAR(10),""))+1)</x:f>
        <x:v>0</x:v>
      </x:c>
      <x:c r="I129" s="23" t="str"/>
      <x:c r="J129" s="23" t="str">
        <x:v>No developed-article link recorded</x:v>
      </x:c>
      <x:c r="K129" s="23" t="str">
        <x:v>Not inferred</x:v>
      </x:c>
      <x:c r="L129" s="34" t="str">
        <x:v>3bd0b3347069bb12957920f72208d75ba5162d0c2ff436132f9b8a80d0779c88</x:v>
      </x:c>
      <x:c r="M129" s="32" t="n">
        <x:v>20676</x:v>
      </x:c>
      <x:c r="N129" s="23" t="str">
        <x:v>https://v5ma.github.io/theology-wiki/san-reader.html?page=galatians-3-faith-summary</x:v>
      </x:c>
    </x:row>
    <x:row r="130" ht="56" customHeight="1">
      <x:c r="A130" s="23" t="str">
        <x:v>Gaza Coin proposal</x:v>
      </x:c>
      <x:c r="B130" s="23" t="str">
        <x:v>gpt2026dragon2631_Gaza_Coin_proposal.txt</x:v>
      </x:c>
      <x:c r="C130" s="23" t="str">
        <x:v>2025-10-17</x:v>
      </x:c>
      <x:c r="D130" s="23" t="n">
        <x:v>1</x:v>
      </x:c>
      <x:c r="E130" s="23" t="str"/>
      <x:c r="F130" s="23" t="n">
        <x:f>IF(E130="",0,LEN(E130)-LEN(SUBSTITUTE(E130,CHAR(10),""))+1)</x:f>
        <x:v>0</x:v>
      </x:c>
      <x:c r="G130" s="23" t="str"/>
      <x:c r="H130" s="23" t="n">
        <x:f>IF(G130="",0,LEN(G130&amp;"")-LEN(SUBSTITUTE(G130&amp;"",CHAR(10),""))+1)</x:f>
        <x:v>0</x:v>
      </x:c>
      <x:c r="I130" s="23" t="str"/>
      <x:c r="J130" s="23" t="str">
        <x:v>No developed-article link recorded</x:v>
      </x:c>
      <x:c r="K130" s="23" t="str">
        <x:v>Not inferred</x:v>
      </x:c>
      <x:c r="L130" s="34" t="str">
        <x:v>57951f48f9842585adb3e8f9aedc196332b700a96d30727bb9cc6bde60357678</x:v>
      </x:c>
      <x:c r="M130" s="32" t="n">
        <x:v>3799</x:v>
      </x:c>
      <x:c r="N130" s="23" t="str">
        <x:v>https://v5ma.github.io/theology-wiki/san-reader.html?page=gaza-coin-proposal</x:v>
      </x:c>
    </x:row>
    <x:row r="131" ht="56" customHeight="1">
      <x:c r="A131" s="23" t="str">
        <x:v>Gaza development coalition name</x:v>
      </x:c>
      <x:c r="B131" s="23" t="str">
        <x:v>gpt2026dragon2636_Gaza_development_coalition_name.txt</x:v>
      </x:c>
      <x:c r="C131" s="23" t="str">
        <x:v>2025-10-18</x:v>
      </x:c>
      <x:c r="D131" s="23" t="n">
        <x:v>12</x:v>
      </x:c>
      <x:c r="E131" s="23" t="str"/>
      <x:c r="F131" s="23" t="n">
        <x:f>IF(E131="",0,LEN(E131)-LEN(SUBSTITUTE(E131,CHAR(10),""))+1)</x:f>
        <x:v>0</x:v>
      </x:c>
      <x:c r="G131" s="23" t="str"/>
      <x:c r="H131" s="23" t="n">
        <x:f>IF(G131="",0,LEN(G131&amp;"")-LEN(SUBSTITUTE(G131&amp;"",CHAR(10),""))+1)</x:f>
        <x:v>0</x:v>
      </x:c>
      <x:c r="I131" s="23" t="str"/>
      <x:c r="J131" s="23" t="str">
        <x:v>No developed-article link recorded</x:v>
      </x:c>
      <x:c r="K131" s="23" t="str">
        <x:v>Not inferred</x:v>
      </x:c>
      <x:c r="L131" s="34" t="str">
        <x:v>04f2d946d43cca702621ae89eff6c381f407447c50b61af9e47e01fc29915f7a</x:v>
      </x:c>
      <x:c r="M131" s="32" t="n">
        <x:v>19159</x:v>
      </x:c>
      <x:c r="N131" s="23" t="str">
        <x:v>https://v5ma.github.io/theology-wiki/san-reader.html?page=gaza-development-coalition-name</x:v>
      </x:c>
    </x:row>
    <x:row r="132" ht="56" customHeight="1">
      <x:c r="A132" s="23" t="str">
        <x:v>Gaza Narrative Debate</x:v>
      </x:c>
      <x:c r="B132" s="23" t="str">
        <x:v>gpt2026dragon1989_Gaza_Narrative_Debate.txt</x:v>
      </x:c>
      <x:c r="C132" s="23" t="str">
        <x:v>2025-07-29</x:v>
      </x:c>
      <x:c r="D132" s="23" t="n">
        <x:v>100</x:v>
      </x:c>
      <x:c r="E132" s="23" t="str"/>
      <x:c r="F132" s="23" t="n">
        <x:f>IF(E132="",0,LEN(E132)-LEN(SUBSTITUTE(E132,CHAR(10),""))+1)</x:f>
        <x:v>0</x:v>
      </x:c>
      <x:c r="G132" s="23" t="str"/>
      <x:c r="H132" s="23" t="n">
        <x:f>IF(G132="",0,LEN(G132&amp;"")-LEN(SUBSTITUTE(G132&amp;"",CHAR(10),""))+1)</x:f>
        <x:v>0</x:v>
      </x:c>
      <x:c r="I132" s="23" t="str"/>
      <x:c r="J132" s="23" t="str">
        <x:v>No developed-article link recorded</x:v>
      </x:c>
      <x:c r="K132" s="23" t="str">
        <x:v>Not inferred</x:v>
      </x:c>
      <x:c r="L132" s="34" t="str">
        <x:v>1dd388c487430c4aa0981c5d90c33ac3d2d86a97ec09003215741a9bfaedc4b7</x:v>
      </x:c>
      <x:c r="M132" s="32" t="n">
        <x:v>182258</x:v>
      </x:c>
      <x:c r="N132" s="23" t="str">
        <x:v>https://v5ma.github.io/theology-wiki/san-reader.html?page=gaza-narrative-debate</x:v>
      </x:c>
    </x:row>
    <x:row r="133" ht="56" customHeight="1">
      <x:c r="A133" s="23" t="str">
        <x:v>Gaza Relocation Debate</x:v>
      </x:c>
      <x:c r="B133" s="23" t="str">
        <x:v>gpt2026dragon1082_Gaza_Relocation_Debate.txt</x:v>
      </x:c>
      <x:c r="C133" s="23" t="str">
        <x:v>2025-03-09</x:v>
      </x:c>
      <x:c r="D133" s="23" t="n">
        <x:v>1</x:v>
      </x:c>
      <x:c r="E133" s="23" t="str"/>
      <x:c r="F133" s="23" t="n">
        <x:f>IF(E133="",0,LEN(E133)-LEN(SUBSTITUTE(E133,CHAR(10),""))+1)</x:f>
        <x:v>0</x:v>
      </x:c>
      <x:c r="G133" s="23" t="str"/>
      <x:c r="H133" s="23" t="n">
        <x:f>IF(G133="",0,LEN(G133&amp;"")-LEN(SUBSTITUTE(G133&amp;"",CHAR(10),""))+1)</x:f>
        <x:v>0</x:v>
      </x:c>
      <x:c r="I133" s="23" t="str"/>
      <x:c r="J133" s="23" t="str">
        <x:v>No developed-article link recorded</x:v>
      </x:c>
      <x:c r="K133" s="23" t="str">
        <x:v>Not inferred</x:v>
      </x:c>
      <x:c r="L133" s="34" t="str">
        <x:v>fe54bb7da494f5d03e20cdb9944aafcf1c59a255830d30addb00f366fa9bc040</x:v>
      </x:c>
      <x:c r="M133" s="32" t="n">
        <x:v>1568</x:v>
      </x:c>
      <x:c r="N133" s="23" t="str">
        <x:v>https://v5ma.github.io/theology-wiki/san-reader.html?page=gaza-relocation-debate</x:v>
      </x:c>
    </x:row>
    <x:row r="134" ht="56" customHeight="1">
      <x:c r="A134" s="23" t="str">
        <x:v>Gaza starvation propaganda debate</x:v>
      </x:c>
      <x:c r="B134" s="23" t="str">
        <x:v>gpt2026dragon2019_Gaza_starvation_propaganda_debate.txt</x:v>
      </x:c>
      <x:c r="C134" s="23" t="str">
        <x:v>2025-08-02</x:v>
      </x:c>
      <x:c r="D134" s="23" t="n">
        <x:v>1</x:v>
      </x:c>
      <x:c r="E134" s="23" t="str"/>
      <x:c r="F134" s="23" t="n">
        <x:f>IF(E134="",0,LEN(E134)-LEN(SUBSTITUTE(E134,CHAR(10),""))+1)</x:f>
        <x:v>0</x:v>
      </x:c>
      <x:c r="G134" s="23" t="str"/>
      <x:c r="H134" s="23" t="n">
        <x:f>IF(G134="",0,LEN(G134&amp;"")-LEN(SUBSTITUTE(G134&amp;"",CHAR(10),""))+1)</x:f>
        <x:v>0</x:v>
      </x:c>
      <x:c r="I134" s="23" t="str"/>
      <x:c r="J134" s="23" t="str">
        <x:v>No developed-article link recorded</x:v>
      </x:c>
      <x:c r="K134" s="23" t="str">
        <x:v>Not inferred</x:v>
      </x:c>
      <x:c r="L134" s="34" t="str">
        <x:v>68f577696df1227f9225da10166d853fc6aff5505fdc6db1573ef2d938f0e188</x:v>
      </x:c>
      <x:c r="M134" s="32" t="n">
        <x:v>3726</x:v>
      </x:c>
      <x:c r="N134" s="23" t="str">
        <x:v>https://v5ma.github.io/theology-wiki/san-reader.html?page=gaza-starvation-propaganda-debate</x:v>
      </x:c>
    </x:row>
    <x:row r="135" ht="56" customHeight="1">
      <x:c r="A135" s="23" t="str">
        <x:v>Glazing Brainwaves Reflected</x:v>
      </x:c>
      <x:c r="B135" s="23" t="str">
        <x:v>gpt2026dragon1395_Glazing_Brainwaves_Reflected.txt</x:v>
      </x:c>
      <x:c r="C135" s="23" t="str">
        <x:v>2025-04-28</x:v>
      </x:c>
      <x:c r="D135" s="23" t="n">
        <x:v>12</x:v>
      </x:c>
      <x:c r="E135" s="23" t="str"/>
      <x:c r="F135" s="23" t="n">
        <x:f>IF(E135="",0,LEN(E135)-LEN(SUBSTITUTE(E135,CHAR(10),""))+1)</x:f>
        <x:v>0</x:v>
      </x:c>
      <x:c r="G135" s="23" t="str"/>
      <x:c r="H135" s="23" t="n">
        <x:f>IF(G135="",0,LEN(G135&amp;"")-LEN(SUBSTITUTE(G135&amp;"",CHAR(10),""))+1)</x:f>
        <x:v>0</x:v>
      </x:c>
      <x:c r="I135" s="23" t="str"/>
      <x:c r="J135" s="23" t="str">
        <x:v>No developed-article link recorded</x:v>
      </x:c>
      <x:c r="K135" s="23" t="str">
        <x:v>Not inferred</x:v>
      </x:c>
      <x:c r="L135" s="34" t="str">
        <x:v>735e907b0407a77c1905b963809efcfa54c36f1ed8e92db95177a1bd3119e850</x:v>
      </x:c>
      <x:c r="M135" s="32" t="n">
        <x:v>11282</x:v>
      </x:c>
      <x:c r="N135" s="23" t="str">
        <x:v>https://v5ma.github.io/theology-wiki/san-reader.html?page=glazing-brainwaves-reflected</x:v>
      </x:c>
    </x:row>
    <x:row r="136" ht="56" customHeight="1">
      <x:c r="A136" s="23" t="str">
        <x:v>Gmirkin Hellenistic Bible Theory</x:v>
      </x:c>
      <x:c r="B136" s="23" t="str">
        <x:v>gpt2026dragon1089_Gmirkin_Hellenistic_Bible_Theory.txt</x:v>
      </x:c>
      <x:c r="C136" s="23" t="str">
        <x:v>2025-03-11</x:v>
      </x:c>
      <x:c r="D136" s="23" t="n">
        <x:v>4</x:v>
      </x:c>
      <x:c r="E136" s="23" t="str"/>
      <x:c r="F136" s="23" t="n">
        <x:f>IF(E136="",0,LEN(E136)-LEN(SUBSTITUTE(E136,CHAR(10),""))+1)</x:f>
        <x:v>0</x:v>
      </x:c>
      <x:c r="G136" s="23" t="str"/>
      <x:c r="H136" s="23" t="n">
        <x:f>IF(G136="",0,LEN(G136&amp;"")-LEN(SUBSTITUTE(G136&amp;"",CHAR(10),""))+1)</x:f>
        <x:v>0</x:v>
      </x:c>
      <x:c r="I136" s="23" t="str"/>
      <x:c r="J136" s="23" t="str">
        <x:v>No developed-article link recorded</x:v>
      </x:c>
      <x:c r="K136" s="23" t="str">
        <x:v>Not inferred</x:v>
      </x:c>
      <x:c r="L136" s="34" t="str">
        <x:v>b63722ad06e4df6be3b663e5267e8f50ace76eafd646319fb3c5cd8996040509</x:v>
      </x:c>
      <x:c r="M136" s="32" t="n">
        <x:v>7350</x:v>
      </x:c>
      <x:c r="N136" s="23" t="str">
        <x:v>https://v5ma.github.io/theology-wiki/san-reader.html?page=gmirkin-hellenistic-bible-theory</x:v>
      </x:c>
    </x:row>
    <x:row r="137" ht="56" customHeight="1">
      <x:c r="A137" s="23" t="str">
        <x:v>Gnosis Density and Gravity</x:v>
      </x:c>
      <x:c r="B137" s="23" t="str">
        <x:v>gpt2026dragon2506_Gnosis_Density_and_Gravity.txt</x:v>
      </x:c>
      <x:c r="C137" s="23" t="str">
        <x:v>2025-10-02</x:v>
      </x:c>
      <x:c r="D137" s="23" t="n">
        <x:v>12</x:v>
      </x:c>
      <x:c r="E137" s="23" t="str"/>
      <x:c r="F137" s="23" t="n">
        <x:f>IF(E137="",0,LEN(E137)-LEN(SUBSTITUTE(E137,CHAR(10),""))+1)</x:f>
        <x:v>0</x:v>
      </x:c>
      <x:c r="G137" s="23" t="str"/>
      <x:c r="H137" s="23" t="n">
        <x:f>IF(G137="",0,LEN(G137&amp;"")-LEN(SUBSTITUTE(G137&amp;"",CHAR(10),""))+1)</x:f>
        <x:v>0</x:v>
      </x:c>
      <x:c r="I137" s="23" t="str"/>
      <x:c r="J137" s="23" t="str">
        <x:v>No developed-article link recorded</x:v>
      </x:c>
      <x:c r="K137" s="23" t="str">
        <x:v>Not inferred</x:v>
      </x:c>
      <x:c r="L137" s="34" t="str">
        <x:v>60c1e8a733717ac566f7cae6f91930b6b80dad440cabffb61b4da06378bf2b68</x:v>
      </x:c>
      <x:c r="M137" s="32" t="n">
        <x:v>519558</x:v>
      </x:c>
      <x:c r="N137" s="23" t="str">
        <x:v>https://v5ma.github.io/theology-wiki/san-reader.html?page=gnosis-density-and-gravity</x:v>
      </x:c>
    </x:row>
    <x:row r="138" ht="56" customHeight="1">
      <x:c r="A138" s="23" t="str">
        <x:v>Gnostic Christianity and Jesus</x:v>
      </x:c>
      <x:c r="B138" s="23" t="str">
        <x:v>gpt2026dragon1765_Gnostic_Christianity_and_Jesus.txt</x:v>
      </x:c>
      <x:c r="C138" s="23" t="str">
        <x:v>2025-06-25</x:v>
      </x:c>
      <x:c r="D138" s="23" t="n">
        <x:v>4</x:v>
      </x:c>
      <x:c r="E138" s="23" t="str"/>
      <x:c r="F138" s="23" t="n">
        <x:f>IF(E138="",0,LEN(E138)-LEN(SUBSTITUTE(E138,CHAR(10),""))+1)</x:f>
        <x:v>0</x:v>
      </x:c>
      <x:c r="G138" s="23" t="str"/>
      <x:c r="H138" s="23" t="n">
        <x:f>IF(G138="",0,LEN(G138&amp;"")-LEN(SUBSTITUTE(G138&amp;"",CHAR(10),""))+1)</x:f>
        <x:v>0</x:v>
      </x:c>
      <x:c r="I138" s="23" t="str"/>
      <x:c r="J138" s="23" t="str">
        <x:v>No developed-article link recorded</x:v>
      </x:c>
      <x:c r="K138" s="23" t="str">
        <x:v>Not inferred</x:v>
      </x:c>
      <x:c r="L138" s="34" t="str">
        <x:v>07a7e69feeb39e6b328ecba3da26279beee57d3056edee85adefd34bbd7e89d5</x:v>
      </x:c>
      <x:c r="M138" s="32" t="n">
        <x:v>18132</x:v>
      </x:c>
      <x:c r="N138" s="23" t="str">
        <x:v>https://v5ma.github.io/theology-wiki/san-reader.html?page=gnostic-christianity-and-jesus</x:v>
      </x:c>
    </x:row>
    <x:row r="139" ht="56" customHeight="1">
      <x:c r="A139" s="23" t="str">
        <x:v>Gnostic Church Psychedelic Legalities</x:v>
      </x:c>
      <x:c r="B139" s="23" t="str">
        <x:v>gpt2026dragon923_Gnostic_Church_Psychedelic_Legalities.txt</x:v>
      </x:c>
      <x:c r="C139" s="23" t="str">
        <x:v>2025-02-11</x:v>
      </x:c>
      <x:c r="D139" s="23" t="n">
        <x:v>7</x:v>
      </x:c>
      <x:c r="E139" s="23" t="str"/>
      <x:c r="F139" s="23" t="n">
        <x:f>IF(E139="",0,LEN(E139)-LEN(SUBSTITUTE(E139,CHAR(10),""))+1)</x:f>
        <x:v>0</x:v>
      </x:c>
      <x:c r="G139" s="23" t="str"/>
      <x:c r="H139" s="23" t="n">
        <x:f>IF(G139="",0,LEN(G139&amp;"")-LEN(SUBSTITUTE(G139&amp;"",CHAR(10),""))+1)</x:f>
        <x:v>0</x:v>
      </x:c>
      <x:c r="I139" s="23" t="str"/>
      <x:c r="J139" s="23" t="str">
        <x:v>No developed-article link recorded</x:v>
      </x:c>
      <x:c r="K139" s="23" t="str">
        <x:v>Not inferred</x:v>
      </x:c>
      <x:c r="L139" s="34" t="str">
        <x:v>c683e33ec81bb674fe893c7064fb265ab6348f8551a4e751a48ae5920970ba84</x:v>
      </x:c>
      <x:c r="M139" s="32" t="n">
        <x:v>13849</x:v>
      </x:c>
      <x:c r="N139" s="23" t="str">
        <x:v>https://v5ma.github.io/theology-wiki/san-reader.html?page=gnostic-church-psychedelic-legalities</x:v>
      </x:c>
    </x:row>
    <x:row r="140" ht="56" customHeight="1">
      <x:c r="A140" s="23" t="str">
        <x:v>Gnostic Divinity and Dualism</x:v>
      </x:c>
      <x:c r="B140" s="23" t="str">
        <x:v>gpt2026dragon907_Gnostic_Divinity_and_Dualism.txt</x:v>
      </x:c>
      <x:c r="C140" s="23" t="str">
        <x:v>2025-02-09</x:v>
      </x:c>
      <x:c r="D140" s="23" t="n">
        <x:v>2</x:v>
      </x:c>
      <x:c r="E140" s="23" t="str"/>
      <x:c r="F140" s="23" t="n">
        <x:f>IF(E140="",0,LEN(E140)-LEN(SUBSTITUTE(E140,CHAR(10),""))+1)</x:f>
        <x:v>0</x:v>
      </x:c>
      <x:c r="G140" s="23" t="str"/>
      <x:c r="H140" s="23" t="n">
        <x:f>IF(G140="",0,LEN(G140&amp;"")-LEN(SUBSTITUTE(G140&amp;"",CHAR(10),""))+1)</x:f>
        <x:v>0</x:v>
      </x:c>
      <x:c r="I140" s="23" t="str"/>
      <x:c r="J140" s="23" t="str">
        <x:v>No developed-article link recorded</x:v>
      </x:c>
      <x:c r="K140" s="23" t="str">
        <x:v>Not inferred</x:v>
      </x:c>
      <x:c r="L140" s="34" t="str">
        <x:v>54568f6ddbfbe10340b9770a06092cf6db3bc2fbd7b9243dc8cd6238e57de0c1</x:v>
      </x:c>
      <x:c r="M140" s="32" t="n">
        <x:v>5268</x:v>
      </x:c>
      <x:c r="N140" s="23" t="str">
        <x:v>https://v5ma.github.io/theology-wiki/san-reader.html?page=gnostic-divinity-and-dualism</x:v>
      </x:c>
    </x:row>
    <x:row r="141" ht="56" customHeight="1">
      <x:c r="A141" s="23" t="str">
        <x:v>Gnostic end-times figures</x:v>
      </x:c>
      <x:c r="B141" s="23" t="str">
        <x:v>gpt2026dragon2721_Gnostic_end-times_figures.txt</x:v>
      </x:c>
      <x:c r="C141" s="23" t="str">
        <x:v>2025-11-03</x:v>
      </x:c>
      <x:c r="D141" s="23" t="n">
        <x:v>4</x:v>
      </x:c>
      <x:c r="E141" s="23" t="str"/>
      <x:c r="F141" s="23" t="n">
        <x:f>IF(E141="",0,LEN(E141)-LEN(SUBSTITUTE(E141,CHAR(10),""))+1)</x:f>
        <x:v>0</x:v>
      </x:c>
      <x:c r="G141" s="23" t="str"/>
      <x:c r="H141" s="23" t="n">
        <x:f>IF(G141="",0,LEN(G141&amp;"")-LEN(SUBSTITUTE(G141&amp;"",CHAR(10),""))+1)</x:f>
        <x:v>0</x:v>
      </x:c>
      <x:c r="I141" s="23" t="str"/>
      <x:c r="J141" s="23" t="str">
        <x:v>No developed-article link recorded</x:v>
      </x:c>
      <x:c r="K141" s="23" t="str">
        <x:v>Not inferred</x:v>
      </x:c>
      <x:c r="L141" s="34" t="str">
        <x:v>441829ba65218e278bcdd428fba42b2cab0d0cb2a87a382c5a608aa2bc4b3c4e</x:v>
      </x:c>
      <x:c r="M141" s="32" t="n">
        <x:v>10712</x:v>
      </x:c>
      <x:c r="N141" s="23" t="str">
        <x:v>https://v5ma.github.io/theology-wiki/san-reader.html?page=gnostic-end-times-figures</x:v>
      </x:c>
    </x:row>
    <x:row r="142" ht="56" customHeight="1">
      <x:c r="A142" s="23" t="str">
        <x:v>Gnostic God Comparisons</x:v>
      </x:c>
      <x:c r="B142" s="23" t="str">
        <x:v>gpt2026dragon1429_Gnostic_God_Comparisons.txt</x:v>
      </x:c>
      <x:c r="C142" s="23" t="str">
        <x:v>2025-05-04</x:v>
      </x:c>
      <x:c r="D142" s="23" t="n">
        <x:v>14</x:v>
      </x:c>
      <x:c r="E142" s="23" t="str"/>
      <x:c r="F142" s="23" t="n">
        <x:f>IF(E142="",0,LEN(E142)-LEN(SUBSTITUTE(E142,CHAR(10),""))+1)</x:f>
        <x:v>0</x:v>
      </x:c>
      <x:c r="G142" s="23" t="str"/>
      <x:c r="H142" s="23" t="n">
        <x:f>IF(G142="",0,LEN(G142&amp;"")-LEN(SUBSTITUTE(G142&amp;"",CHAR(10),""))+1)</x:f>
        <x:v>0</x:v>
      </x:c>
      <x:c r="I142" s="23" t="str"/>
      <x:c r="J142" s="23" t="str">
        <x:v>No developed-article link recorded</x:v>
      </x:c>
      <x:c r="K142" s="23" t="str">
        <x:v>Not inferred</x:v>
      </x:c>
      <x:c r="L142" s="34" t="str">
        <x:v>639f851486ca1d7b1690215c49bb21d5ec36c6c1e8fdc4962ef7a62991ecb235</x:v>
      </x:c>
      <x:c r="M142" s="32" t="n">
        <x:v>29841</x:v>
      </x:c>
      <x:c r="N142" s="23" t="str">
        <x:v>https://v5ma.github.io/theology-wiki/san-reader.html?page=gnostic-god-comparisons</x:v>
      </x:c>
    </x:row>
    <x:row r="143" ht="56" customHeight="1">
      <x:c r="A143" s="23" t="str">
        <x:v>Gnostic Gospels and Vocabulary</x:v>
      </x:c>
      <x:c r="B143" s="23" t="str">
        <x:v>gpt2026dragon1521_Gnostic_Gospels_and_Vocabulary.txt</x:v>
      </x:c>
      <x:c r="C143" s="23" t="str">
        <x:v>2025-05-18</x:v>
      </x:c>
      <x:c r="D143" s="23" t="n">
        <x:v>61</x:v>
      </x:c>
      <x:c r="E143" s="23" t="str"/>
      <x:c r="F143" s="23" t="n">
        <x:f>IF(E143="",0,LEN(E143)-LEN(SUBSTITUTE(E143,CHAR(10),""))+1)</x:f>
        <x:v>0</x:v>
      </x:c>
      <x:c r="G143" s="23" t="str"/>
      <x:c r="H143" s="23" t="n">
        <x:f>IF(G143="",0,LEN(G143&amp;"")-LEN(SUBSTITUTE(G143&amp;"",CHAR(10),""))+1)</x:f>
        <x:v>0</x:v>
      </x:c>
      <x:c r="I143" s="23" t="str"/>
      <x:c r="J143" s="23" t="str">
        <x:v>No developed-article link recorded</x:v>
      </x:c>
      <x:c r="K143" s="23" t="str">
        <x:v>Not inferred</x:v>
      </x:c>
      <x:c r="L143" s="34" t="str">
        <x:v>157dd393c770061006b3959e5865174918215e7aa4b6976e180a75d0604c17b9</x:v>
      </x:c>
      <x:c r="M143" s="32" t="n">
        <x:v>50371</x:v>
      </x:c>
      <x:c r="N143" s="23" t="str">
        <x:v>https://v5ma.github.io/theology-wiki/san-reader.html?page=gnostic-gospels-and-vocabulary</x:v>
      </x:c>
    </x:row>
    <x:row r="144" ht="56" customHeight="1">
      <x:c r="A144" s="23" t="str">
        <x:v>Gnostic Gospels in Film</x:v>
      </x:c>
      <x:c r="B144" s="23" t="str">
        <x:v>gpt2026dragon1601_Gnostic_Gospels_in_Film.txt</x:v>
      </x:c>
      <x:c r="C144" s="23" t="str">
        <x:v>2025-06-01</x:v>
      </x:c>
      <x:c r="D144" s="23" t="n">
        <x:v>4</x:v>
      </x:c>
      <x:c r="E144" s="23" t="str"/>
      <x:c r="F144" s="23" t="n">
        <x:f>IF(E144="",0,LEN(E144)-LEN(SUBSTITUTE(E144,CHAR(10),""))+1)</x:f>
        <x:v>0</x:v>
      </x:c>
      <x:c r="G144" s="23" t="str"/>
      <x:c r="H144" s="23" t="n">
        <x:f>IF(G144="",0,LEN(G144&amp;"")-LEN(SUBSTITUTE(G144&amp;"",CHAR(10),""))+1)</x:f>
        <x:v>0</x:v>
      </x:c>
      <x:c r="I144" s="23" t="str"/>
      <x:c r="J144" s="23" t="str">
        <x:v>No developed-article link recorded</x:v>
      </x:c>
      <x:c r="K144" s="23" t="str">
        <x:v>Not inferred</x:v>
      </x:c>
      <x:c r="L144" s="34" t="str">
        <x:v>50761b6d23f5a497d5f8df486bd625dd4f51d34b650439bbb8eb15c17397dcaf</x:v>
      </x:c>
      <x:c r="M144" s="32" t="n">
        <x:v>5699</x:v>
      </x:c>
      <x:c r="N144" s="23" t="str">
        <x:v>https://v5ma.github.io/theology-wiki/san-reader.html?page=gnostic-gospels-in-film</x:v>
      </x:c>
    </x:row>
    <x:row r="145" ht="56" customHeight="1">
      <x:c r="A145" s="23" t="str">
        <x:v>Gnostic Jesus and Judas</x:v>
      </x:c>
      <x:c r="B145" s="23" t="str">
        <x:v>gpt2026dragon856_Gnostic_Jesus_and_Judas.txt</x:v>
      </x:c>
      <x:c r="C145" s="23" t="str">
        <x:v>2025-02-04</x:v>
      </x:c>
      <x:c r="D145" s="23" t="n">
        <x:v>4</x:v>
      </x:c>
      <x:c r="E145" s="23" t="str"/>
      <x:c r="F145" s="23" t="n">
        <x:f>IF(E145="",0,LEN(E145)-LEN(SUBSTITUTE(E145,CHAR(10),""))+1)</x:f>
        <x:v>0</x:v>
      </x:c>
      <x:c r="G145" s="23" t="str"/>
      <x:c r="H145" s="23" t="n">
        <x:f>IF(G145="",0,LEN(G145&amp;"")-LEN(SUBSTITUTE(G145&amp;"",CHAR(10),""))+1)</x:f>
        <x:v>0</x:v>
      </x:c>
      <x:c r="I145" s="23" t="str"/>
      <x:c r="J145" s="23" t="str">
        <x:v>No developed-article link recorded</x:v>
      </x:c>
      <x:c r="K145" s="23" t="str">
        <x:v>Not inferred</x:v>
      </x:c>
      <x:c r="L145" s="34" t="str">
        <x:v>225443ff08e1118bd0eac76259b472f439289d7221f3bf9737ffb8461cb025e1</x:v>
      </x:c>
      <x:c r="M145" s="32" t="n">
        <x:v>10369</x:v>
      </x:c>
      <x:c r="N145" s="23" t="str">
        <x:v>https://v5ma.github.io/theology-wiki/san-reader.html?page=gnostic-jesus-and-judas</x:v>
      </x:c>
    </x:row>
    <x:row r="146" ht="56" customHeight="1">
      <x:c r="A146" s="23" t="str">
        <x:v>Gnostic Jesus and Logos</x:v>
      </x:c>
      <x:c r="B146" s="23" t="str">
        <x:v>gpt2026dragon1315_Gnostic_Jesus_and_Logos.txt</x:v>
      </x:c>
      <x:c r="C146" s="23" t="str">
        <x:v>2025-04-18</x:v>
      </x:c>
      <x:c r="D146" s="23" t="n">
        <x:v>21</x:v>
      </x:c>
      <x:c r="E146" s="23" t="str"/>
      <x:c r="F146" s="23" t="n">
        <x:f>IF(E146="",0,LEN(E146)-LEN(SUBSTITUTE(E146,CHAR(10),""))+1)</x:f>
        <x:v>0</x:v>
      </x:c>
      <x:c r="G146" s="23" t="str"/>
      <x:c r="H146" s="23" t="n">
        <x:f>IF(G146="",0,LEN(G146&amp;"")-LEN(SUBSTITUTE(G146&amp;"",CHAR(10),""))+1)</x:f>
        <x:v>0</x:v>
      </x:c>
      <x:c r="I146" s="23" t="str"/>
      <x:c r="J146" s="23" t="str">
        <x:v>No developed-article link recorded</x:v>
      </x:c>
      <x:c r="K146" s="23" t="str">
        <x:v>Not inferred</x:v>
      </x:c>
      <x:c r="L146" s="34" t="str">
        <x:v>4c5dfeb4d5f487cb2b65f4ea47250e7f16405724687698f770ebbce1db89b613</x:v>
      </x:c>
      <x:c r="M146" s="32" t="n">
        <x:v>21438</x:v>
      </x:c>
      <x:c r="N146" s="23" t="str">
        <x:v>https://v5ma.github.io/theology-wiki/san-reader.html?page=gnostic-jesus-and-logos</x:v>
      </x:c>
    </x:row>
    <x:row r="147" ht="56" customHeight="1">
      <x:c r="A147" s="23" t="str">
        <x:v>Gnostic Teachings and Clarity</x:v>
      </x:c>
      <x:c r="B147" s="23" t="str">
        <x:v>gpt2026dragon1068_Gnostic_Teachings_and_Clarity.txt</x:v>
      </x:c>
      <x:c r="C147" s="23" t="str">
        <x:v>2025-03-06</x:v>
      </x:c>
      <x:c r="D147" s="23" t="n">
        <x:v>7</x:v>
      </x:c>
      <x:c r="E147" s="23" t="str">
        <x:v>kenite-hypothesis-and-yahweh-origins</x:v>
      </x:c>
      <x:c r="F147" s="23" t="n">
        <x:f>IF(E147="",0,LEN(E147)-LEN(SUBSTITUTE(E147,CHAR(10),""))+1)</x:f>
        <x:v>1</x:v>
      </x:c>
      <x:c r="G147" s="23" t="str"/>
      <x:c r="H147" s="23" t="n">
        <x:f>IF(G147="",0,LEN(G147&amp;"")-LEN(SUBSTITUTE(G147&amp;"",CHAR(10),""))+1)</x:f>
        <x:v>0</x:v>
      </x:c>
      <x:c r="I147" s="23" t="str">
        <x:v>names</x:v>
      </x:c>
      <x:c r="J147" s="23" t="str">
        <x:v>Linked to developed article</x:v>
      </x:c>
      <x:c r="K147" s="23" t="str">
        <x:v>Not inferred</x:v>
      </x:c>
      <x:c r="L147" s="34" t="str">
        <x:v>8ef2b81a0bc76a10fe5c1888c1f5674d7d7370fddd6c74e24eac72b2c0e31db0</x:v>
      </x:c>
      <x:c r="M147" s="32" t="n">
        <x:v>25583</x:v>
      </x:c>
      <x:c r="N147" s="23" t="str">
        <x:v>https://v5ma.github.io/theology-wiki/san-reader.html?page=gnostic-teachings-and-clarity</x:v>
      </x:c>
    </x:row>
    <x:row r="148" ht="56" customHeight="1">
      <x:c r="A148" s="23" t="str">
        <x:v>Gnostic Texts and Christianity</x:v>
      </x:c>
      <x:c r="B148" s="23" t="str">
        <x:v>gpt2026dragon1603_Gnostic_Texts_and_Christianity.txt</x:v>
      </x:c>
      <x:c r="C148" s="23" t="str">
        <x:v>2025-06-01</x:v>
      </x:c>
      <x:c r="D148" s="23" t="n">
        <x:v>2</x:v>
      </x:c>
      <x:c r="E148" s="23" t="str"/>
      <x:c r="F148" s="23" t="n">
        <x:f>IF(E148="",0,LEN(E148)-LEN(SUBSTITUTE(E148,CHAR(10),""))+1)</x:f>
        <x:v>0</x:v>
      </x:c>
      <x:c r="G148" s="23" t="str"/>
      <x:c r="H148" s="23" t="n">
        <x:f>IF(G148="",0,LEN(G148&amp;"")-LEN(SUBSTITUTE(G148&amp;"",CHAR(10),""))+1)</x:f>
        <x:v>0</x:v>
      </x:c>
      <x:c r="I148" s="23" t="str"/>
      <x:c r="J148" s="23" t="str">
        <x:v>No developed-article link recorded</x:v>
      </x:c>
      <x:c r="K148" s="23" t="str">
        <x:v>Not inferred</x:v>
      </x:c>
      <x:c r="L148" s="34" t="str">
        <x:v>9648b91bf8c5f890bff6bdb1d3515d85507a919e309dad337c8e17c7fdc97f7f</x:v>
      </x:c>
      <x:c r="M148" s="32" t="n">
        <x:v>2619</x:v>
      </x:c>
      <x:c r="N148" s="23" t="str">
        <x:v>https://v5ma.github.io/theology-wiki/san-reader.html?page=gnostic-texts-and-christianity</x:v>
      </x:c>
    </x:row>
    <x:row r="149" ht="56" customHeight="1">
      <x:c r="A149" s="23" t="str">
        <x:v>Gnostic Texts and Paul</x:v>
      </x:c>
      <x:c r="B149" s="23" t="str">
        <x:v>gpt2026dragon1898_Gnostic_Texts_and_Paul.txt</x:v>
      </x:c>
      <x:c r="C149" s="23" t="str">
        <x:v>2025-07-15</x:v>
      </x:c>
      <x:c r="D149" s="23" t="n">
        <x:v>2</x:v>
      </x:c>
      <x:c r="E149" s="23" t="str"/>
      <x:c r="F149" s="23" t="n">
        <x:f>IF(E149="",0,LEN(E149)-LEN(SUBSTITUTE(E149,CHAR(10),""))+1)</x:f>
        <x:v>0</x:v>
      </x:c>
      <x:c r="G149" s="23" t="str"/>
      <x:c r="H149" s="23" t="n">
        <x:f>IF(G149="",0,LEN(G149&amp;"")-LEN(SUBSTITUTE(G149&amp;"",CHAR(10),""))+1)</x:f>
        <x:v>0</x:v>
      </x:c>
      <x:c r="I149" s="23" t="str"/>
      <x:c r="J149" s="23" t="str">
        <x:v>No developed-article link recorded</x:v>
      </x:c>
      <x:c r="K149" s="23" t="str">
        <x:v>Not inferred</x:v>
      </x:c>
      <x:c r="L149" s="34" t="str">
        <x:v>d9f15ad8c57b6f3d80b80c49d0d1cc3f55f37ea726f26b51623ad818af513abc</x:v>
      </x:c>
      <x:c r="M149" s="32" t="n">
        <x:v>4322</x:v>
      </x:c>
      <x:c r="N149" s="23" t="str">
        <x:v>https://v5ma.github.io/theology-wiki/san-reader.html?page=gnostic-texts-and-paul</x:v>
      </x:c>
    </x:row>
    <x:row r="150" ht="56" customHeight="1">
      <x:c r="A150" s="23" t="str">
        <x:v>Gnosticism and Evil Creator</x:v>
      </x:c>
      <x:c r="B150" s="23" t="str">
        <x:v>gpt2026dragon1098_Gnosticism_and_Evil_Creator.txt</x:v>
      </x:c>
      <x:c r="C150" s="23" t="str">
        <x:v>2025-03-14</x:v>
      </x:c>
      <x:c r="D150" s="23" t="n">
        <x:v>24</x:v>
      </x:c>
      <x:c r="E150" s="23" t="str"/>
      <x:c r="F150" s="23" t="n">
        <x:f>IF(E150="",0,LEN(E150)-LEN(SUBSTITUTE(E150,CHAR(10),""))+1)</x:f>
        <x:v>0</x:v>
      </x:c>
      <x:c r="G150" s="23" t="str"/>
      <x:c r="H150" s="23" t="n">
        <x:f>IF(G150="",0,LEN(G150&amp;"")-LEN(SUBSTITUTE(G150&amp;"",CHAR(10),""))+1)</x:f>
        <x:v>0</x:v>
      </x:c>
      <x:c r="I150" s="23" t="str"/>
      <x:c r="J150" s="23" t="str">
        <x:v>No developed-article link recorded</x:v>
      </x:c>
      <x:c r="K150" s="23" t="str">
        <x:v>Not inferred</x:v>
      </x:c>
      <x:c r="L150" s="34" t="str">
        <x:v>51579870ab46ca2ca631b91a4d426fdab9cc4707fef4471e43bf4b463ab60628</x:v>
      </x:c>
      <x:c r="M150" s="32" t="n">
        <x:v>80452</x:v>
      </x:c>
      <x:c r="N150" s="23" t="str">
        <x:v>https://v5ma.github.io/theology-wiki/san-reader.html?page=gnosticism-and-evil-creator</x:v>
      </x:c>
    </x:row>
    <x:row r="151" ht="56" customHeight="1">
      <x:c r="A151" s="23" t="str">
        <x:v>Gnosticism and Original Sin</x:v>
      </x:c>
      <x:c r="B151" s="23" t="str">
        <x:v>gpt2026dragon1498_Gnosticism_and_Original_Sin.txt</x:v>
      </x:c>
      <x:c r="C151" s="23" t="str">
        <x:v>2025-05-14</x:v>
      </x:c>
      <x:c r="D151" s="23" t="n">
        <x:v>2</x:v>
      </x:c>
      <x:c r="E151" s="23" t="str"/>
      <x:c r="F151" s="23" t="n">
        <x:f>IF(E151="",0,LEN(E151)-LEN(SUBSTITUTE(E151,CHAR(10),""))+1)</x:f>
        <x:v>0</x:v>
      </x:c>
      <x:c r="G151" s="23" t="str"/>
      <x:c r="H151" s="23" t="n">
        <x:f>IF(G151="",0,LEN(G151&amp;"")-LEN(SUBSTITUTE(G151&amp;"",CHAR(10),""))+1)</x:f>
        <x:v>0</x:v>
      </x:c>
      <x:c r="I151" s="23" t="str"/>
      <x:c r="J151" s="23" t="str">
        <x:v>No developed-article link recorded</x:v>
      </x:c>
      <x:c r="K151" s="23" t="str">
        <x:v>Not inferred</x:v>
      </x:c>
      <x:c r="L151" s="34" t="str">
        <x:v>bf9de704e5878c194a9a215f8b4de292f5c8d23985682dbff097c439f5608a35</x:v>
      </x:c>
      <x:c r="M151" s="32" t="n">
        <x:v>2904</x:v>
      </x:c>
      <x:c r="N151" s="23" t="str">
        <x:v>https://v5ma.github.io/theology-wiki/san-reader.html?page=gnosticism-and-original-sin</x:v>
      </x:c>
    </x:row>
    <x:row r="152" ht="56" customHeight="1">
      <x:c r="A152" s="23" t="str">
        <x:v>Gnosticism and Paul's Letters</x:v>
      </x:c>
      <x:c r="B152" s="23" t="str">
        <x:v>gpt2026dragon1560_Gnosticism_and_Paul_s_Letters.txt</x:v>
      </x:c>
      <x:c r="C152" s="23" t="str">
        <x:v>2025-05-24</x:v>
      </x:c>
      <x:c r="D152" s="23" t="n">
        <x:v>4</x:v>
      </x:c>
      <x:c r="E152" s="23" t="str"/>
      <x:c r="F152" s="23" t="n">
        <x:f>IF(E152="",0,LEN(E152)-LEN(SUBSTITUTE(E152,CHAR(10),""))+1)</x:f>
        <x:v>0</x:v>
      </x:c>
      <x:c r="G152" s="23" t="str"/>
      <x:c r="H152" s="23" t="n">
        <x:f>IF(G152="",0,LEN(G152&amp;"")-LEN(SUBSTITUTE(G152&amp;"",CHAR(10),""))+1)</x:f>
        <x:v>0</x:v>
      </x:c>
      <x:c r="I152" s="23" t="str"/>
      <x:c r="J152" s="23" t="str">
        <x:v>No developed-article link recorded</x:v>
      </x:c>
      <x:c r="K152" s="23" t="str">
        <x:v>Not inferred</x:v>
      </x:c>
      <x:c r="L152" s="34" t="str">
        <x:v>4bf93a025d6f1614298023d6137f8cd09ad0b228a94001ffe7c1dc06a14e4d50</x:v>
      </x:c>
      <x:c r="M152" s="32" t="n">
        <x:v>6494</x:v>
      </x:c>
      <x:c r="N152" s="23" t="str">
        <x:v>https://v5ma.github.io/theology-wiki/san-reader.html?page=gnosticism-and-paul-s-letters</x:v>
      </x:c>
    </x:row>
    <x:row r="153" ht="56" customHeight="1">
      <x:c r="A153" s="23" t="str">
        <x:v>Gnosticism in Catholicism</x:v>
      </x:c>
      <x:c r="B153" s="23" t="str">
        <x:v>gpt2026dragon1303_Gnosticism_in_Catholicism.txt</x:v>
      </x:c>
      <x:c r="C153" s="23" t="str">
        <x:v>2025-04-14</x:v>
      </x:c>
      <x:c r="D153" s="23" t="n">
        <x:v>7</x:v>
      </x:c>
      <x:c r="E153" s="23" t="str"/>
      <x:c r="F153" s="23" t="n">
        <x:f>IF(E153="",0,LEN(E153)-LEN(SUBSTITUTE(E153,CHAR(10),""))+1)</x:f>
        <x:v>0</x:v>
      </x:c>
      <x:c r="G153" s="23" t="str"/>
      <x:c r="H153" s="23" t="n">
        <x:f>IF(G153="",0,LEN(G153&amp;"")-LEN(SUBSTITUTE(G153&amp;"",CHAR(10),""))+1)</x:f>
        <x:v>0</x:v>
      </x:c>
      <x:c r="I153" s="23" t="str"/>
      <x:c r="J153" s="23" t="str">
        <x:v>No developed-article link recorded</x:v>
      </x:c>
      <x:c r="K153" s="23" t="str">
        <x:v>Not inferred</x:v>
      </x:c>
      <x:c r="L153" s="34" t="str">
        <x:v>a393fb47b577b592cee144dfb597134eb21c8335565442ef5390b01637422b5d</x:v>
      </x:c>
      <x:c r="M153" s="32" t="n">
        <x:v>28076</x:v>
      </x:c>
      <x:c r="N153" s="23" t="str">
        <x:v>https://v5ma.github.io/theology-wiki/san-reader.html?page=gnosticism-in-catholicism</x:v>
      </x:c>
    </x:row>
    <x:row r="154" ht="56" customHeight="1">
      <x:c r="A154" s="23" t="str">
        <x:v>God and Sea Monsters</x:v>
      </x:c>
      <x:c r="B154" s="23" t="str">
        <x:v>gpt2026dragon1093_God_and_Sea_Monsters.txt</x:v>
      </x:c>
      <x:c r="C154" s="23" t="str">
        <x:v>2025-03-13</x:v>
      </x:c>
      <x:c r="D154" s="23" t="n">
        <x:v>17</x:v>
      </x:c>
      <x:c r="E154" s="23" t="str"/>
      <x:c r="F154" s="23" t="n">
        <x:f>IF(E154="",0,LEN(E154)-LEN(SUBSTITUTE(E154,CHAR(10),""))+1)</x:f>
        <x:v>0</x:v>
      </x:c>
      <x:c r="G154" s="23" t="str"/>
      <x:c r="H154" s="23" t="n">
        <x:f>IF(G154="",0,LEN(G154&amp;"")-LEN(SUBSTITUTE(G154&amp;"",CHAR(10),""))+1)</x:f>
        <x:v>0</x:v>
      </x:c>
      <x:c r="I154" s="23" t="str"/>
      <x:c r="J154" s="23" t="str">
        <x:v>No developed-article link recorded</x:v>
      </x:c>
      <x:c r="K154" s="23" t="str">
        <x:v>Not inferred</x:v>
      </x:c>
      <x:c r="L154" s="34" t="str">
        <x:v>dfe272b01b6d781d14c90019272ad8599b2e1c743611e37079e52fc3d1dac8d2</x:v>
      </x:c>
      <x:c r="M154" s="32" t="n">
        <x:v>28741</x:v>
      </x:c>
      <x:c r="N154" s="23" t="str">
        <x:v>https://v5ma.github.io/theology-wiki/san-reader.html?page=god-and-sea-monsters</x:v>
      </x:c>
    </x:row>
    <x:row r="155" ht="56" customHeight="1">
      <x:c r="A155" s="23" t="str">
        <x:v>Gog Magog and Nations</x:v>
      </x:c>
      <x:c r="B155" s="23" t="str">
        <x:v>gpt2026dragon3142_Gog_Magog_and_Nations.txt</x:v>
      </x:c>
      <x:c r="C155" s="23" t="str">
        <x:v>2026-03-08</x:v>
      </x:c>
      <x:c r="D155" s="23" t="n">
        <x:v>34</x:v>
      </x:c>
      <x:c r="E155" s="23" t="str"/>
      <x:c r="F155" s="23" t="n">
        <x:f>IF(E155="",0,LEN(E155)-LEN(SUBSTITUTE(E155,CHAR(10),""))+1)</x:f>
        <x:v>0</x:v>
      </x:c>
      <x:c r="G155" s="23" t="str"/>
      <x:c r="H155" s="23" t="n">
        <x:f>IF(G155="",0,LEN(G155&amp;"")-LEN(SUBSTITUTE(G155&amp;"",CHAR(10),""))+1)</x:f>
        <x:v>0</x:v>
      </x:c>
      <x:c r="I155" s="23" t="str"/>
      <x:c r="J155" s="23" t="str">
        <x:v>No developed-article link recorded</x:v>
      </x:c>
      <x:c r="K155" s="23" t="str">
        <x:v>Not inferred</x:v>
      </x:c>
      <x:c r="L155" s="34" t="str">
        <x:v>7bda52f7c890a9c878ad071a4c78501e82a967620273ccd9ed8efa95f204161b</x:v>
      </x:c>
      <x:c r="M155" s="32" t="n">
        <x:v>160973</x:v>
      </x:c>
      <x:c r="N155" s="23" t="str">
        <x:v>https://v5ma.github.io/theology-wiki/san-reader.html?page=gog-magog-and-nations</x:v>
      </x:c>
    </x:row>
    <x:row r="156" ht="56" customHeight="1">
      <x:c r="A156" s="23" t="str">
        <x:v>Gospel of Judas Overview</x:v>
      </x:c>
      <x:c r="B156" s="23" t="str">
        <x:v>gpt2026dragon861_Gospel_of_Judas_Overview.txt</x:v>
      </x:c>
      <x:c r="C156" s="23" t="str">
        <x:v>2025-02-04</x:v>
      </x:c>
      <x:c r="D156" s="23" t="n">
        <x:v>3</x:v>
      </x:c>
      <x:c r="E156" s="23" t="str"/>
      <x:c r="F156" s="23" t="n">
        <x:f>IF(E156="",0,LEN(E156)-LEN(SUBSTITUTE(E156,CHAR(10),""))+1)</x:f>
        <x:v>0</x:v>
      </x:c>
      <x:c r="G156" s="23" t="str"/>
      <x:c r="H156" s="23" t="n">
        <x:f>IF(G156="",0,LEN(G156&amp;"")-LEN(SUBSTITUTE(G156&amp;"",CHAR(10),""))+1)</x:f>
        <x:v>0</x:v>
      </x:c>
      <x:c r="I156" s="23" t="str"/>
      <x:c r="J156" s="23" t="str">
        <x:v>No developed-article link recorded</x:v>
      </x:c>
      <x:c r="K156" s="23" t="str">
        <x:v>Not inferred</x:v>
      </x:c>
      <x:c r="L156" s="34" t="str">
        <x:v>106d62b2391f24785425fddf3b6e0d22bdcb170682eb1431be2e520e344ed1d4</x:v>
      </x:c>
      <x:c r="M156" s="32" t="n">
        <x:v>6627</x:v>
      </x:c>
      <x:c r="N156" s="23" t="str">
        <x:v>https://v5ma.github.io/theology-wiki/san-reader.html?page=gospel-of-judas-overview</x:v>
      </x:c>
    </x:row>
    <x:row r="157" ht="56" customHeight="1">
      <x:c r="A157" s="23" t="str">
        <x:v>Greta Thunberg and Iran</x:v>
      </x:c>
      <x:c r="B157" s="23" t="str">
        <x:v>gpt2026dragon3155_Greta_Thunberg_and_Iran.txt</x:v>
      </x:c>
      <x:c r="C157" s="23" t="str">
        <x:v>2026-03-10</x:v>
      </x:c>
      <x:c r="D157" s="23" t="n">
        <x:v>6</x:v>
      </x:c>
      <x:c r="E157" s="23" t="str"/>
      <x:c r="F157" s="23" t="n">
        <x:f>IF(E157="",0,LEN(E157)-LEN(SUBSTITUTE(E157,CHAR(10),""))+1)</x:f>
        <x:v>0</x:v>
      </x:c>
      <x:c r="G157" s="23" t="str"/>
      <x:c r="H157" s="23" t="n">
        <x:f>IF(G157="",0,LEN(G157&amp;"")-LEN(SUBSTITUTE(G157&amp;"",CHAR(10),""))+1)</x:f>
        <x:v>0</x:v>
      </x:c>
      <x:c r="I157" s="23" t="str"/>
      <x:c r="J157" s="23" t="str">
        <x:v>No developed-article link recorded</x:v>
      </x:c>
      <x:c r="K157" s="23" t="str">
        <x:v>Not inferred</x:v>
      </x:c>
      <x:c r="L157" s="34" t="str">
        <x:v>beedf199af0639f975fbd4d132c5af4b2d10717dada882495fd07a6252379a22</x:v>
      </x:c>
      <x:c r="M157" s="32" t="n">
        <x:v>13254</x:v>
      </x:c>
      <x:c r="N157" s="23" t="str">
        <x:v>https://v5ma.github.io/theology-wiki/san-reader.html?page=greta-thunberg-and-iran</x:v>
      </x:c>
    </x:row>
    <x:row r="158" ht="56" customHeight="1">
      <x:c r="A158" s="23" t="str">
        <x:v>GSET verification and implications</x:v>
      </x:c>
      <x:c r="B158" s="23" t="str">
        <x:v>gpt2026dragon2377_GSET_verification_and_implications.txt</x:v>
      </x:c>
      <x:c r="C158" s="23" t="str">
        <x:v>2025-09-12</x:v>
      </x:c>
      <x:c r="D158" s="23" t="n">
        <x:v>3</x:v>
      </x:c>
      <x:c r="E158" s="23" t="str"/>
      <x:c r="F158" s="23" t="n">
        <x:f>IF(E158="",0,LEN(E158)-LEN(SUBSTITUTE(E158,CHAR(10),""))+1)</x:f>
        <x:v>0</x:v>
      </x:c>
      <x:c r="G158" s="23" t="str"/>
      <x:c r="H158" s="23" t="n">
        <x:f>IF(G158="",0,LEN(G158&amp;"")-LEN(SUBSTITUTE(G158&amp;"",CHAR(10),""))+1)</x:f>
        <x:v>0</x:v>
      </x:c>
      <x:c r="I158" s="23" t="str"/>
      <x:c r="J158" s="23" t="str">
        <x:v>No developed-article link recorded</x:v>
      </x:c>
      <x:c r="K158" s="23" t="str">
        <x:v>Not inferred</x:v>
      </x:c>
      <x:c r="L158" s="34" t="str">
        <x:v>a7fdea8bcb06d3e2c391ae94a745993c631e932791aca0153b3cf5cefa3d324f</x:v>
      </x:c>
      <x:c r="M158" s="32" t="n">
        <x:v>15426</x:v>
      </x:c>
      <x:c r="N158" s="23" t="str">
        <x:v>https://v5ma.github.io/theology-wiki/san-reader.html?page=gset-verification-and-implications</x:v>
      </x:c>
    </x:row>
    <x:row r="159" ht="56" customHeight="1">
      <x:c r="A159" s="23" t="str">
        <x:v>Hamas Propaganda and Hostages</x:v>
      </x:c>
      <x:c r="B159" s="23" t="str">
        <x:v>gpt2026dragon1501_Hamas_Propaganda_and_Hostages.txt</x:v>
      </x:c>
      <x:c r="C159" s="23" t="str">
        <x:v>2025-05-15</x:v>
      </x:c>
      <x:c r="D159" s="23" t="n">
        <x:v>6</x:v>
      </x:c>
      <x:c r="E159" s="23" t="str"/>
      <x:c r="F159" s="23" t="n">
        <x:f>IF(E159="",0,LEN(E159)-LEN(SUBSTITUTE(E159,CHAR(10),""))+1)</x:f>
        <x:v>0</x:v>
      </x:c>
      <x:c r="G159" s="23" t="str"/>
      <x:c r="H159" s="23" t="n">
        <x:f>IF(G159="",0,LEN(G159&amp;"")-LEN(SUBSTITUTE(G159&amp;"",CHAR(10),""))+1)</x:f>
        <x:v>0</x:v>
      </x:c>
      <x:c r="I159" s="23" t="str"/>
      <x:c r="J159" s="23" t="str">
        <x:v>No developed-article link recorded</x:v>
      </x:c>
      <x:c r="K159" s="23" t="str">
        <x:v>Not inferred</x:v>
      </x:c>
      <x:c r="L159" s="34" t="str">
        <x:v>7a51eea78ed7a2c9425df6903bffd45bdf059452438278203162973803cb5892</x:v>
      </x:c>
      <x:c r="M159" s="32" t="n">
        <x:v>7458</x:v>
      </x:c>
      <x:c r="N159" s="23" t="str">
        <x:v>https://v5ma.github.io/theology-wiki/san-reader.html?page=hamas-propaganda-and-hostages</x:v>
      </x:c>
    </x:row>
    <x:row r="160" ht="56" customHeight="1">
      <x:c r="A160" s="23" t="str">
        <x:v>Haramein Vortex Gravity Model</x:v>
      </x:c>
      <x:c r="B160" s="23" t="str">
        <x:v>gpt2026dragon964_Haramein_Vortex_Gravity_Model.txt</x:v>
      </x:c>
      <x:c r="C160" s="23" t="str">
        <x:v>2025-02-19</x:v>
      </x:c>
      <x:c r="D160" s="23" t="n">
        <x:v>13</x:v>
      </x:c>
      <x:c r="E160" s="23" t="str"/>
      <x:c r="F160" s="23" t="n">
        <x:f>IF(E160="",0,LEN(E160)-LEN(SUBSTITUTE(E160,CHAR(10),""))+1)</x:f>
        <x:v>0</x:v>
      </x:c>
      <x:c r="G160" s="23" t="str"/>
      <x:c r="H160" s="23" t="n">
        <x:f>IF(G160="",0,LEN(G160&amp;"")-LEN(SUBSTITUTE(G160&amp;"",CHAR(10),""))+1)</x:f>
        <x:v>0</x:v>
      </x:c>
      <x:c r="I160" s="23" t="str"/>
      <x:c r="J160" s="23" t="str">
        <x:v>No developed-article link recorded</x:v>
      </x:c>
      <x:c r="K160" s="23" t="str">
        <x:v>Not inferred</x:v>
      </x:c>
      <x:c r="L160" s="34" t="str">
        <x:v>87ce7b2a306c4078619d666191c3efb1eeba2bcdaa01bfe08d8f0c5fe0434507</x:v>
      </x:c>
      <x:c r="M160" s="32" t="n">
        <x:v>20796</x:v>
      </x:c>
      <x:c r="N160" s="23" t="str">
        <x:v>https://v5ma.github.io/theology-wiki/san-reader.html?page=haramein-vortex-gravity-model</x:v>
      </x:c>
    </x:row>
    <x:row r="161" ht="56" customHeight="1">
      <x:c r="A161" s="23" t="str">
        <x:v>Harari on Israel and Gaza</x:v>
      </x:c>
      <x:c r="B161" s="23" t="str">
        <x:v>gpt2026dragon2763_Harari_on_Israel_and_Gaza.txt</x:v>
      </x:c>
      <x:c r="C161" s="23" t="str">
        <x:v>2025-11-14</x:v>
      </x:c>
      <x:c r="D161" s="23" t="n">
        <x:v>7</x:v>
      </x:c>
      <x:c r="E161" s="23" t="str"/>
      <x:c r="F161" s="23" t="n">
        <x:f>IF(E161="",0,LEN(E161)-LEN(SUBSTITUTE(E161,CHAR(10),""))+1)</x:f>
        <x:v>0</x:v>
      </x:c>
      <x:c r="G161" s="23" t="str"/>
      <x:c r="H161" s="23" t="n">
        <x:f>IF(G161="",0,LEN(G161&amp;"")-LEN(SUBSTITUTE(G161&amp;"",CHAR(10),""))+1)</x:f>
        <x:v>0</x:v>
      </x:c>
      <x:c r="I161" s="23" t="str"/>
      <x:c r="J161" s="23" t="str">
        <x:v>No developed-article link recorded</x:v>
      </x:c>
      <x:c r="K161" s="23" t="str">
        <x:v>Not inferred</x:v>
      </x:c>
      <x:c r="L161" s="34" t="str">
        <x:v>f69febaf61406bfa4c385d14c73c8903360755974b98d68f61ea40e784a02dbc</x:v>
      </x:c>
      <x:c r="M161" s="32" t="n">
        <x:v>41840</x:v>
      </x:c>
      <x:c r="N161" s="23" t="str">
        <x:v>https://v5ma.github.io/theology-wiki/san-reader.html?page=harari-on-israel-and-gaza</x:v>
      </x:c>
    </x:row>
    <x:row r="162" ht="56" customHeight="1">
      <x:c r="A162" s="23" t="str">
        <x:v>Heavier than a Feather</x:v>
      </x:c>
      <x:c r="B162" s="23" t="str">
        <x:v>gpt2026dragon1707_Heavier_than_a_Feather.txt</x:v>
      </x:c>
      <x:c r="C162" s="23" t="str">
        <x:v>2025-06-19</x:v>
      </x:c>
      <x:c r="D162" s="23" t="n">
        <x:v>15</x:v>
      </x:c>
      <x:c r="E162" s="23" t="str"/>
      <x:c r="F162" s="23" t="n">
        <x:f>IF(E162="",0,LEN(E162)-LEN(SUBSTITUTE(E162,CHAR(10),""))+1)</x:f>
        <x:v>0</x:v>
      </x:c>
      <x:c r="G162" s="23" t="str"/>
      <x:c r="H162" s="23" t="n">
        <x:f>IF(G162="",0,LEN(G162&amp;"")-LEN(SUBSTITUTE(G162&amp;"",CHAR(10),""))+1)</x:f>
        <x:v>0</x:v>
      </x:c>
      <x:c r="I162" s="23" t="str"/>
      <x:c r="J162" s="23" t="str">
        <x:v>No developed-article link recorded</x:v>
      </x:c>
      <x:c r="K162" s="23" t="str">
        <x:v>Not inferred</x:v>
      </x:c>
      <x:c r="L162" s="34" t="str">
        <x:v>b005747c5aa95e3c6d299d71e7fab367b7c21fd4bcad69a15a19dbd62009e860</x:v>
      </x:c>
      <x:c r="M162" s="32" t="n">
        <x:v>8470</x:v>
      </x:c>
      <x:c r="N162" s="23" t="str">
        <x:v>https://v5ma.github.io/theology-wiki/san-reader.html?page=heavier-than-a-feather</x:v>
      </x:c>
    </x:row>
    <x:row r="163" ht="56" customHeight="1">
      <x:c r="A163" s="23" t="str">
        <x:v>Heisenberg VTT and SIT</x:v>
      </x:c>
      <x:c r="B163" s="23" t="str">
        <x:v>gpt2026dragon1260_Heisenberg_VTT_and_SIT.txt</x:v>
      </x:c>
      <x:c r="C163" s="23" t="str">
        <x:v>2025-04-05</x:v>
      </x:c>
      <x:c r="D163" s="23" t="n">
        <x:v>16</x:v>
      </x:c>
      <x:c r="E163" s="23" t="str"/>
      <x:c r="F163" s="23" t="n">
        <x:f>IF(E163="",0,LEN(E163)-LEN(SUBSTITUTE(E163,CHAR(10),""))+1)</x:f>
        <x:v>0</x:v>
      </x:c>
      <x:c r="G163" s="23" t="str"/>
      <x:c r="H163" s="23" t="n">
        <x:f>IF(G163="",0,LEN(G163&amp;"")-LEN(SUBSTITUTE(G163&amp;"",CHAR(10),""))+1)</x:f>
        <x:v>0</x:v>
      </x:c>
      <x:c r="I163" s="23" t="str"/>
      <x:c r="J163" s="23" t="str">
        <x:v>No developed-article link recorded</x:v>
      </x:c>
      <x:c r="K163" s="23" t="str">
        <x:v>Not inferred</x:v>
      </x:c>
      <x:c r="L163" s="34" t="str">
        <x:v>173c430b773777b13fd61efd81bbfa45b45095e0892156fbd5db28585c36a13e</x:v>
      </x:c>
      <x:c r="M163" s="32" t="n">
        <x:v>47448</x:v>
      </x:c>
      <x:c r="N163" s="23" t="str">
        <x:v>https://v5ma.github.io/theology-wiki/san-reader.html?page=heisenberg-vtt-and-sit</x:v>
      </x:c>
    </x:row>
    <x:row r="164" ht="56" customHeight="1">
      <x:c r="A164" s="23" t="str">
        <x:v>Hell Transformation and Metatron</x:v>
      </x:c>
      <x:c r="B164" s="23" t="str">
        <x:v>gpt2026dragon895_Hell_Transformation_and_Metatron.txt</x:v>
      </x:c>
      <x:c r="C164" s="23" t="str">
        <x:v>2025-02-07</x:v>
      </x:c>
      <x:c r="D164" s="23" t="n">
        <x:v>2</x:v>
      </x:c>
      <x:c r="E164" s="23" t="str"/>
      <x:c r="F164" s="23" t="n">
        <x:f>IF(E164="",0,LEN(E164)-LEN(SUBSTITUTE(E164,CHAR(10),""))+1)</x:f>
        <x:v>0</x:v>
      </x:c>
      <x:c r="G164" s="23" t="str"/>
      <x:c r="H164" s="23" t="n">
        <x:f>IF(G164="",0,LEN(G164&amp;"")-LEN(SUBSTITUTE(G164&amp;"",CHAR(10),""))+1)</x:f>
        <x:v>0</x:v>
      </x:c>
      <x:c r="I164" s="23" t="str"/>
      <x:c r="J164" s="23" t="str">
        <x:v>No developed-article link recorded</x:v>
      </x:c>
      <x:c r="K164" s="23" t="str">
        <x:v>Not inferred</x:v>
      </x:c>
      <x:c r="L164" s="34" t="str">
        <x:v>2f4028961d0bc9e6af59b479b2250ff797f012b218aa2436733bbcfc0220c685</x:v>
      </x:c>
      <x:c r="M164" s="32" t="n">
        <x:v>5440</x:v>
      </x:c>
      <x:c r="N164" s="23" t="str">
        <x:v>https://v5ma.github.io/theology-wiki/san-reader.html?page=hell-transformation-and-metatron</x:v>
      </x:c>
    </x:row>
    <x:row r="165" ht="56" customHeight="1">
      <x:c r="A165" s="23" t="str">
        <x:v>Henosis and Gnosticism Comparison</x:v>
      </x:c>
      <x:c r="B165" s="23" t="str">
        <x:v>gpt2026dragon1755_Henosis_and_Gnosticism_Comparison.txt</x:v>
      </x:c>
      <x:c r="C165" s="23" t="str">
        <x:v>2025-06-24</x:v>
      </x:c>
      <x:c r="D165" s="23" t="n">
        <x:v>10</x:v>
      </x:c>
      <x:c r="E165" s="23" t="str"/>
      <x:c r="F165" s="23" t="n">
        <x:f>IF(E165="",0,LEN(E165)-LEN(SUBSTITUTE(E165,CHAR(10),""))+1)</x:f>
        <x:v>0</x:v>
      </x:c>
      <x:c r="G165" s="23" t="str"/>
      <x:c r="H165" s="23" t="n">
        <x:f>IF(G165="",0,LEN(G165&amp;"")-LEN(SUBSTITUTE(G165&amp;"",CHAR(10),""))+1)</x:f>
        <x:v>0</x:v>
      </x:c>
      <x:c r="I165" s="23" t="str"/>
      <x:c r="J165" s="23" t="str">
        <x:v>No developed-article link recorded</x:v>
      </x:c>
      <x:c r="K165" s="23" t="str">
        <x:v>Not inferred</x:v>
      </x:c>
      <x:c r="L165" s="34" t="str">
        <x:v>2a7c5ab43a55641dd75f2296fcc1705b09d1e64d6361e718c849e4ddec06aa4a</x:v>
      </x:c>
      <x:c r="M165" s="32" t="n">
        <x:v>22436</x:v>
      </x:c>
      <x:c r="N165" s="23" t="str">
        <x:v>https://v5ma.github.io/theology-wiki/san-reader.html?page=henosis-and-gnosticism-comparison</x:v>
      </x:c>
    </x:row>
    <x:row r="166" ht="56" customHeight="1">
      <x:c r="A166" s="23" t="str">
        <x:v>Herod timeline clarification</x:v>
      </x:c>
      <x:c r="B166" s="23" t="str">
        <x:v>gpt2026dragon2462_Herod_timeline_clarification.txt</x:v>
      </x:c>
      <x:c r="C166" s="23" t="str">
        <x:v>2025-09-25</x:v>
      </x:c>
      <x:c r="D166" s="23" t="n">
        <x:v>25</x:v>
      </x:c>
      <x:c r="E166" s="23" t="str"/>
      <x:c r="F166" s="23" t="n">
        <x:f>IF(E166="",0,LEN(E166)-LEN(SUBSTITUTE(E166,CHAR(10),""))+1)</x:f>
        <x:v>0</x:v>
      </x:c>
      <x:c r="G166" s="23" t="str"/>
      <x:c r="H166" s="23" t="n">
        <x:f>IF(G166="",0,LEN(G166&amp;"")-LEN(SUBSTITUTE(G166&amp;"",CHAR(10),""))+1)</x:f>
        <x:v>0</x:v>
      </x:c>
      <x:c r="I166" s="23" t="str"/>
      <x:c r="J166" s="23" t="str">
        <x:v>No developed-article link recorded</x:v>
      </x:c>
      <x:c r="K166" s="23" t="str">
        <x:v>Not inferred</x:v>
      </x:c>
      <x:c r="L166" s="34" t="str">
        <x:v>85817a83a63b21fef295e822e257d1f9b1b084c183586283a3acb5f4caa67909</x:v>
      </x:c>
      <x:c r="M166" s="32" t="n">
        <x:v>495917</x:v>
      </x:c>
      <x:c r="N166" s="23" t="str">
        <x:v>https://v5ma.github.io/theology-wiki/san-reader.html?page=herod-timeline-clarification</x:v>
      </x:c>
    </x:row>
    <x:row r="167" ht="56" customHeight="1">
      <x:c r="A167" s="23" t="str">
        <x:v>Hogs and Authority Dynamics</x:v>
      </x:c>
      <x:c r="B167" s="23" t="str">
        <x:v>gpt2026dragon1701_Hogs_and_Authority_Dynamics.txt</x:v>
      </x:c>
      <x:c r="C167" s="23" t="str">
        <x:v>2025-06-18</x:v>
      </x:c>
      <x:c r="D167" s="23" t="n">
        <x:v>8</x:v>
      </x:c>
      <x:c r="E167" s="23" t="str"/>
      <x:c r="F167" s="23" t="n">
        <x:f>IF(E167="",0,LEN(E167)-LEN(SUBSTITUTE(E167,CHAR(10),""))+1)</x:f>
        <x:v>0</x:v>
      </x:c>
      <x:c r="G167" s="23" t="str"/>
      <x:c r="H167" s="23" t="n">
        <x:f>IF(G167="",0,LEN(G167&amp;"")-LEN(SUBSTITUTE(G167&amp;"",CHAR(10),""))+1)</x:f>
        <x:v>0</x:v>
      </x:c>
      <x:c r="I167" s="23" t="str"/>
      <x:c r="J167" s="23" t="str">
        <x:v>No developed-article link recorded</x:v>
      </x:c>
      <x:c r="K167" s="23" t="str">
        <x:v>Not inferred</x:v>
      </x:c>
      <x:c r="L167" s="34" t="str">
        <x:v>7d4517d861142d0b06e49e207b4ed4f9c6eed846bbf5bbe33dec5502fbc026d1</x:v>
      </x:c>
      <x:c r="M167" s="32" t="n">
        <x:v>10800</x:v>
      </x:c>
      <x:c r="N167" s="23" t="str">
        <x:v>https://v5ma.github.io/theology-wiki/san-reader.html?page=hogs-and-authority-dynamics</x:v>
      </x:c>
    </x:row>
    <x:row r="168" ht="56" customHeight="1">
      <x:c r="A168" s="23" t="str">
        <x:v>Horseman of Death Fate</x:v>
      </x:c>
      <x:c r="B168" s="23" t="str">
        <x:v>gpt2026dragon287_Horseman_of_Death_Fate.txt</x:v>
      </x:c>
      <x:c r="C168" s="23" t="str">
        <x:v>2024-10-23</x:v>
      </x:c>
      <x:c r="D168" s="23" t="n">
        <x:v>5</x:v>
      </x:c>
      <x:c r="E168" s="23" t="str"/>
      <x:c r="F168" s="23" t="n">
        <x:f>IF(E168="",0,LEN(E168)-LEN(SUBSTITUTE(E168,CHAR(10),""))+1)</x:f>
        <x:v>0</x:v>
      </x:c>
      <x:c r="G168" s="23" t="str"/>
      <x:c r="H168" s="23" t="n">
        <x:f>IF(G168="",0,LEN(G168&amp;"")-LEN(SUBSTITUTE(G168&amp;"",CHAR(10),""))+1)</x:f>
        <x:v>0</x:v>
      </x:c>
      <x:c r="I168" s="23" t="str"/>
      <x:c r="J168" s="23" t="str">
        <x:v>No developed-article link recorded</x:v>
      </x:c>
      <x:c r="K168" s="23" t="str">
        <x:v>Not inferred</x:v>
      </x:c>
      <x:c r="L168" s="34" t="str">
        <x:v>7a43f0026984d609b2474822bb44597142950bf3539c2000f5a3dbf69afc28ae</x:v>
      </x:c>
      <x:c r="M168" s="32" t="n">
        <x:v>3655</x:v>
      </x:c>
      <x:c r="N168" s="23" t="str">
        <x:v>https://v5ma.github.io/theology-wiki/san-reader.html?page=horseman-of-death-fate</x:v>
      </x:c>
    </x:row>
    <x:row r="169" ht="56" customHeight="1">
      <x:c r="A169" s="23" t="str">
        <x:v>Humanity's Need for God</x:v>
      </x:c>
      <x:c r="B169" s="23" t="str">
        <x:v>gpt2026dragon142_Humanity_s_Need_for_God.txt</x:v>
      </x:c>
      <x:c r="C169" s="23" t="str">
        <x:v>2024-09-09</x:v>
      </x:c>
      <x:c r="D169" s="23" t="n">
        <x:v>2</x:v>
      </x:c>
      <x:c r="E169" s="23" t="str"/>
      <x:c r="F169" s="23" t="n">
        <x:f>IF(E169="",0,LEN(E169)-LEN(SUBSTITUTE(E169,CHAR(10),""))+1)</x:f>
        <x:v>0</x:v>
      </x:c>
      <x:c r="G169" s="23" t="str"/>
      <x:c r="H169" s="23" t="n">
        <x:f>IF(G169="",0,LEN(G169&amp;"")-LEN(SUBSTITUTE(G169&amp;"",CHAR(10),""))+1)</x:f>
        <x:v>0</x:v>
      </x:c>
      <x:c r="I169" s="23" t="str"/>
      <x:c r="J169" s="23" t="str">
        <x:v>No developed-article link recorded</x:v>
      </x:c>
      <x:c r="K169" s="23" t="str">
        <x:v>Not inferred</x:v>
      </x:c>
      <x:c r="L169" s="34" t="str">
        <x:v>da9163a508efd4a6e83fcc8fd6350be58cfa7a3e51007d4c3dc6469dd831e810</x:v>
      </x:c>
      <x:c r="M169" s="32" t="n">
        <x:v>4487</x:v>
      </x:c>
      <x:c r="N169" s="23" t="str">
        <x:v>https://v5ma.github.io/theology-wiki/san-reader.html?page=humanity-s-need-for-god</x:v>
      </x:c>
    </x:row>
    <x:row r="170" ht="56" customHeight="1">
      <x:c r="A170" s="23" t="str">
        <x:v>Hyksos Expulsion Overview</x:v>
      </x:c>
      <x:c r="B170" s="23" t="str">
        <x:v>gpt2026dragon1102_Hyksos_Expulsion_Overview.txt</x:v>
      </x:c>
      <x:c r="C170" s="23" t="str">
        <x:v>2025-03-15</x:v>
      </x:c>
      <x:c r="D170" s="23" t="n">
        <x:v>12</x:v>
      </x:c>
      <x:c r="E170" s="23" t="str"/>
      <x:c r="F170" s="23" t="n">
        <x:f>IF(E170="",0,LEN(E170)-LEN(SUBSTITUTE(E170,CHAR(10),""))+1)</x:f>
        <x:v>0</x:v>
      </x:c>
      <x:c r="G170" s="23" t="str"/>
      <x:c r="H170" s="23" t="n">
        <x:f>IF(G170="",0,LEN(G170&amp;"")-LEN(SUBSTITUTE(G170&amp;"",CHAR(10),""))+1)</x:f>
        <x:v>0</x:v>
      </x:c>
      <x:c r="I170" s="23" t="str"/>
      <x:c r="J170" s="23" t="str">
        <x:v>No developed-article link recorded</x:v>
      </x:c>
      <x:c r="K170" s="23" t="str">
        <x:v>Not inferred</x:v>
      </x:c>
      <x:c r="L170" s="34" t="str">
        <x:v>1f096418238ef175f690806f84249a68b1cf33418eb3064140816e536e4a2eaf</x:v>
      </x:c>
      <x:c r="M170" s="32" t="n">
        <x:v>20201</x:v>
      </x:c>
      <x:c r="N170" s="23" t="str">
        <x:v>https://v5ma.github.io/theology-wiki/san-reader.html?page=hyksos-expulsion-overview</x:v>
      </x:c>
    </x:row>
    <x:row r="171" ht="56" customHeight="1">
      <x:c r="A171" s="23" t="str">
        <x:v>Hyperion Cantos summary</x:v>
      </x:c>
      <x:c r="B171" s="23" t="str">
        <x:v>gpt2026dragon2182_Hyperion_Cantos_summary.txt</x:v>
      </x:c>
      <x:c r="C171" s="23" t="str">
        <x:v>2025-08-24</x:v>
      </x:c>
      <x:c r="D171" s="23" t="n">
        <x:v>2</x:v>
      </x:c>
      <x:c r="E171" s="23" t="str"/>
      <x:c r="F171" s="23" t="n">
        <x:f>IF(E171="",0,LEN(E171)-LEN(SUBSTITUTE(E171,CHAR(10),""))+1)</x:f>
        <x:v>0</x:v>
      </x:c>
      <x:c r="G171" s="23" t="str"/>
      <x:c r="H171" s="23" t="n">
        <x:f>IF(G171="",0,LEN(G171&amp;"")-LEN(SUBSTITUTE(G171&amp;"",CHAR(10),""))+1)</x:f>
        <x:v>0</x:v>
      </x:c>
      <x:c r="I171" s="23" t="str"/>
      <x:c r="J171" s="23" t="str">
        <x:v>No developed-article link recorded</x:v>
      </x:c>
      <x:c r="K171" s="23" t="str">
        <x:v>Not inferred</x:v>
      </x:c>
      <x:c r="L171" s="34" t="str">
        <x:v>1c8e935118c3b73ec008f3f9f72b494cff229cfe364590ffc9b867dc700f3b4c</x:v>
      </x:c>
      <x:c r="M171" s="32" t="n">
        <x:v>4502</x:v>
      </x:c>
      <x:c r="N171" s="23" t="str">
        <x:v>https://v5ma.github.io/theology-wiki/san-reader.html?page=hyperion-cantos-summary</x:v>
      </x:c>
    </x:row>
    <x:row r="172" ht="56" customHeight="1">
      <x:c r="A172" s="23" t="str">
        <x:v>I commit my spirit</x:v>
      </x:c>
      <x:c r="B172" s="23" t="str">
        <x:v>gpt2026dragon1906_I_commit_my_spirit.txt</x:v>
      </x:c>
      <x:c r="C172" s="23" t="str">
        <x:v>2025-07-15</x:v>
      </x:c>
      <x:c r="D172" s="23" t="n">
        <x:v>18</x:v>
      </x:c>
      <x:c r="E172" s="23" t="str"/>
      <x:c r="F172" s="23" t="n">
        <x:f>IF(E172="",0,LEN(E172)-LEN(SUBSTITUTE(E172,CHAR(10),""))+1)</x:f>
        <x:v>0</x:v>
      </x:c>
      <x:c r="G172" s="23" t="str"/>
      <x:c r="H172" s="23" t="n">
        <x:f>IF(G172="",0,LEN(G172&amp;"")-LEN(SUBSTITUTE(G172&amp;"",CHAR(10),""))+1)</x:f>
        <x:v>0</x:v>
      </x:c>
      <x:c r="I172" s="23" t="str"/>
      <x:c r="J172" s="23" t="str">
        <x:v>No developed-article link recorded</x:v>
      </x:c>
      <x:c r="K172" s="23" t="str">
        <x:v>Not inferred</x:v>
      </x:c>
      <x:c r="L172" s="34" t="str">
        <x:v>a3c67067eefc8f563198fb2579eb564d549c8bf1432f9ff738cac9c67cd8df99</x:v>
      </x:c>
      <x:c r="M172" s="32" t="n">
        <x:v>24023</x:v>
      </x:c>
      <x:c r="N172" s="23" t="str">
        <x:v>https://v5ma.github.io/theology-wiki/san-reader.html?page=i-commit-my-spirit</x:v>
      </x:c>
    </x:row>
    <x:row r="173" ht="56" customHeight="1">
      <x:c r="A173" s="23" t="str">
        <x:v>If the Antichrist emerged on the world stage today, he could not be from any Middle Eastern nation, nor from Russia.</x:v>
      </x:c>
      <x:c r="B173" s="23" t="str">
        <x:v>gpt2026dragon2997_Method_Disclosure_Review.txt</x:v>
      </x:c>
      <x:c r="C173" s="23" t="str">
        <x:v>2026-01-18</x:v>
      </x:c>
      <x:c r="D173" s="23" t="n">
        <x:v>10</x:v>
      </x:c>
      <x:c r="E173" s="23" t="str"/>
      <x:c r="F173" s="23" t="n">
        <x:f>IF(E173="",0,LEN(E173)-LEN(SUBSTITUTE(E173,CHAR(10),""))+1)</x:f>
        <x:v>0</x:v>
      </x:c>
      <x:c r="G173" s="23" t="str"/>
      <x:c r="H173" s="23" t="n">
        <x:f>IF(G173="",0,LEN(G173&amp;"")-LEN(SUBSTITUTE(G173&amp;"",CHAR(10),""))+1)</x:f>
        <x:v>0</x:v>
      </x:c>
      <x:c r="I173" s="23" t="str"/>
      <x:c r="J173" s="23" t="str">
        <x:v>No developed-article link recorded</x:v>
      </x:c>
      <x:c r="K173" s="23" t="str">
        <x:v>Not inferred</x:v>
      </x:c>
      <x:c r="L173" s="34" t="str">
        <x:v>b6942d78bf816dea714920efe5473ce52ab0fd403e434756ab20c6a14e38b89c</x:v>
      </x:c>
      <x:c r="M173" s="32" t="n">
        <x:v>33280</x:v>
      </x:c>
      <x:c r="N173" s="23" t="str">
        <x:v>https://v5ma.github.io/theology-wiki/san-reader.html?page=if-the-antichrist-emerged-on-the-world-stage-today-he-could-not-be-from-any-middle-eastern-nation-nor-from-russia</x:v>
      </x:c>
    </x:row>
    <x:row r="174" ht="56" customHeight="1">
      <x:c r="A174" s="23" t="str">
        <x:v>Image and Identity Theme</x:v>
      </x:c>
      <x:c r="B174" s="23" t="str">
        <x:v>gpt2026dragon2968_Image_and_Identity_Theme.txt</x:v>
      </x:c>
      <x:c r="C174" s="23" t="str">
        <x:v>2026-01-08</x:v>
      </x:c>
      <x:c r="D174" s="23" t="n">
        <x:v>16</x:v>
      </x:c>
      <x:c r="E174" s="23" t="str"/>
      <x:c r="F174" s="23" t="n">
        <x:f>IF(E174="",0,LEN(E174)-LEN(SUBSTITUTE(E174,CHAR(10),""))+1)</x:f>
        <x:v>0</x:v>
      </x:c>
      <x:c r="G174" s="23" t="str"/>
      <x:c r="H174" s="23" t="n">
        <x:f>IF(G174="",0,LEN(G174&amp;"")-LEN(SUBSTITUTE(G174&amp;"",CHAR(10),""))+1)</x:f>
        <x:v>0</x:v>
      </x:c>
      <x:c r="I174" s="23" t="str"/>
      <x:c r="J174" s="23" t="str">
        <x:v>No developed-article link recorded</x:v>
      </x:c>
      <x:c r="K174" s="23" t="str">
        <x:v>Not inferred</x:v>
      </x:c>
      <x:c r="L174" s="34" t="str">
        <x:v>8b4bbef080ceb20d302d41ce4532ee9f6d36f531bfeb43a14ff02bb488eb8eb3</x:v>
      </x:c>
      <x:c r="M174" s="32" t="n">
        <x:v>13256</x:v>
      </x:c>
      <x:c r="N174" s="23" t="str">
        <x:v>https://v5ma.github.io/theology-wiki/san-reader.html?page=image-and-identity-theme</x:v>
      </x:c>
    </x:row>
    <x:row r="175" ht="56" customHeight="1">
      <x:c r="A175" s="23" t="str">
        <x:v>Inanna Death and Resurrection</x:v>
      </x:c>
      <x:c r="B175" s="23" t="str">
        <x:v>gpt2026dragon611_Inanna_Death_and_Resurrection.txt</x:v>
      </x:c>
      <x:c r="C175" s="23" t="str">
        <x:v>2025-01-01</x:v>
      </x:c>
      <x:c r="D175" s="23" t="n">
        <x:v>3</x:v>
      </x:c>
      <x:c r="E175" s="23" t="str"/>
      <x:c r="F175" s="23" t="n">
        <x:f>IF(E175="",0,LEN(E175)-LEN(SUBSTITUTE(E175,CHAR(10),""))+1)</x:f>
        <x:v>0</x:v>
      </x:c>
      <x:c r="G175" s="23" t="str"/>
      <x:c r="H175" s="23" t="n">
        <x:f>IF(G175="",0,LEN(G175&amp;"")-LEN(SUBSTITUTE(G175&amp;"",CHAR(10),""))+1)</x:f>
        <x:v>0</x:v>
      </x:c>
      <x:c r="I175" s="23" t="str"/>
      <x:c r="J175" s="23" t="str">
        <x:v>No developed-article link recorded</x:v>
      </x:c>
      <x:c r="K175" s="23" t="str">
        <x:v>Not inferred</x:v>
      </x:c>
      <x:c r="L175" s="34" t="str">
        <x:v>61357aec2e29d0888192aeb6e0da76374f11be2d0f70e2cd02fb471842f2de5d</x:v>
      </x:c>
      <x:c r="M175" s="32" t="n">
        <x:v>5495</x:v>
      </x:c>
      <x:c r="N175" s="23" t="str">
        <x:v>https://v5ma.github.io/theology-wiki/san-reader.html?page=inanna-death-and-resurrection</x:v>
      </x:c>
    </x:row>
    <x:row r="176" ht="56" customHeight="1">
      <x:c r="A176" s="23" t="str">
        <x:v>Iran Amalek Prophecy Debate</x:v>
      </x:c>
      <x:c r="B176" s="23" t="str">
        <x:v>gpt2026dragon3146_Iran_Amalek_Prophecy_Debate.txt</x:v>
      </x:c>
      <x:c r="C176" s="23" t="str">
        <x:v>2026-03-09</x:v>
      </x:c>
      <x:c r="D176" s="23" t="n">
        <x:v>7</x:v>
      </x:c>
      <x:c r="E176" s="23" t="str"/>
      <x:c r="F176" s="23" t="n">
        <x:f>IF(E176="",0,LEN(E176)-LEN(SUBSTITUTE(E176,CHAR(10),""))+1)</x:f>
        <x:v>0</x:v>
      </x:c>
      <x:c r="G176" s="23" t="str"/>
      <x:c r="H176" s="23" t="n">
        <x:f>IF(G176="",0,LEN(G176&amp;"")-LEN(SUBSTITUTE(G176&amp;"",CHAR(10),""))+1)</x:f>
        <x:v>0</x:v>
      </x:c>
      <x:c r="I176" s="23" t="str"/>
      <x:c r="J176" s="23" t="str">
        <x:v>No developed-article link recorded</x:v>
      </x:c>
      <x:c r="K176" s="23" t="str">
        <x:v>Not inferred</x:v>
      </x:c>
      <x:c r="L176" s="34" t="str">
        <x:v>1c5030d8d8ad1621fa43f200813c2fdc64894db035f297a10a2af624c0e01bc0</x:v>
      </x:c>
      <x:c r="M176" s="32" t="n">
        <x:v>12939</x:v>
      </x:c>
      <x:c r="N176" s="23" t="str">
        <x:v>https://v5ma.github.io/theology-wiki/san-reader.html?page=iran-amalek-prophecy-debate</x:v>
      </x:c>
    </x:row>
    <x:row r="177" ht="56" customHeight="1">
      <x:c r="A177" s="23" t="str">
        <x:v>Islam's Arrival Century</x:v>
      </x:c>
      <x:c r="B177" s="23" t="str">
        <x:v>gpt2026dragon476_Islam_s_Arrival_Century.txt</x:v>
      </x:c>
      <x:c r="C177" s="23" t="str">
        <x:v>2024-11-29</x:v>
      </x:c>
      <x:c r="D177" s="23" t="n">
        <x:v>2</x:v>
      </x:c>
      <x:c r="E177" s="23" t="str"/>
      <x:c r="F177" s="23" t="n">
        <x:f>IF(E177="",0,LEN(E177)-LEN(SUBSTITUTE(E177,CHAR(10),""))+1)</x:f>
        <x:v>0</x:v>
      </x:c>
      <x:c r="G177" s="23" t="str"/>
      <x:c r="H177" s="23" t="n">
        <x:f>IF(G177="",0,LEN(G177&amp;"")-LEN(SUBSTITUTE(G177&amp;"",CHAR(10),""))+1)</x:f>
        <x:v>0</x:v>
      </x:c>
      <x:c r="I177" s="23" t="str"/>
      <x:c r="J177" s="23" t="str">
        <x:v>No developed-article link recorded</x:v>
      </x:c>
      <x:c r="K177" s="23" t="str">
        <x:v>Not inferred</x:v>
      </x:c>
      <x:c r="L177" s="34" t="str">
        <x:v>fe1bf3f83591317cb8ca203e40c98b631e03b05bcab56fbe491469069ae2ebbc</x:v>
      </x:c>
      <x:c r="M177" s="32" t="n">
        <x:v>939</x:v>
      </x:c>
      <x:c r="N177" s="23" t="str">
        <x:v>https://v5ma.github.io/theology-wiki/san-reader.html?page=islam-s-arrival-century</x:v>
      </x:c>
    </x:row>
    <x:row r="178" ht="56" customHeight="1">
      <x:c r="A178" s="23" t="str">
        <x:v>Israel Democracy Debate</x:v>
      </x:c>
      <x:c r="B178" s="23" t="str">
        <x:v>gpt2026dragon1672_Israel_Democracy_Debate.txt</x:v>
      </x:c>
      <x:c r="C178" s="23" t="str">
        <x:v>2025-06-14</x:v>
      </x:c>
      <x:c r="D178" s="23" t="n">
        <x:v>7</x:v>
      </x:c>
      <x:c r="E178" s="23" t="str"/>
      <x:c r="F178" s="23" t="n">
        <x:f>IF(E178="",0,LEN(E178)-LEN(SUBSTITUTE(E178,CHAR(10),""))+1)</x:f>
        <x:v>0</x:v>
      </x:c>
      <x:c r="G178" s="23" t="str"/>
      <x:c r="H178" s="23" t="n">
        <x:f>IF(G178="",0,LEN(G178&amp;"")-LEN(SUBSTITUTE(G178&amp;"",CHAR(10),""))+1)</x:f>
        <x:v>0</x:v>
      </x:c>
      <x:c r="I178" s="23" t="str"/>
      <x:c r="J178" s="23" t="str">
        <x:v>No developed-article link recorded</x:v>
      </x:c>
      <x:c r="K178" s="23" t="str">
        <x:v>Not inferred</x:v>
      </x:c>
      <x:c r="L178" s="34" t="str">
        <x:v>ec3b97033286afb1f308c0734b5ff61bfe82201d658d4c73f6c3510fbe3bd4da</x:v>
      </x:c>
      <x:c r="M178" s="32" t="n">
        <x:v>13531</x:v>
      </x:c>
      <x:c r="N178" s="23" t="str">
        <x:v>https://v5ma.github.io/theology-wiki/san-reader.html?page=israel-democracy-debate</x:v>
      </x:c>
    </x:row>
    <x:row r="179" ht="56" customHeight="1">
      <x:c r="A179" s="23" t="str">
        <x:v>Israel Gaza famine responsibility</x:v>
      </x:c>
      <x:c r="B179" s="23" t="str">
        <x:v>gpt2026dragon2352_Israel_Gaza_famine_responsibility.txt</x:v>
      </x:c>
      <x:c r="C179" s="23" t="str">
        <x:v>2025-09-10</x:v>
      </x:c>
      <x:c r="D179" s="23" t="n">
        <x:v>23</x:v>
      </x:c>
      <x:c r="E179" s="23" t="str"/>
      <x:c r="F179" s="23" t="n">
        <x:f>IF(E179="",0,LEN(E179)-LEN(SUBSTITUTE(E179,CHAR(10),""))+1)</x:f>
        <x:v>0</x:v>
      </x:c>
      <x:c r="G179" s="23" t="str"/>
      <x:c r="H179" s="23" t="n">
        <x:f>IF(G179="",0,LEN(G179&amp;"")-LEN(SUBSTITUTE(G179&amp;"",CHAR(10),""))+1)</x:f>
        <x:v>0</x:v>
      </x:c>
      <x:c r="I179" s="23" t="str"/>
      <x:c r="J179" s="23" t="str">
        <x:v>No developed-article link recorded</x:v>
      </x:c>
      <x:c r="K179" s="23" t="str">
        <x:v>Not inferred</x:v>
      </x:c>
      <x:c r="L179" s="34" t="str">
        <x:v>3b91b3f23e425e17f9279496cf5302d818577994b661e04369403b979ba17ff4</x:v>
      </x:c>
      <x:c r="M179" s="32" t="n">
        <x:v>192301</x:v>
      </x:c>
      <x:c r="N179" s="23" t="str">
        <x:v>https://v5ma.github.io/theology-wiki/san-reader.html?page=israel-gaza-famine-responsibility</x:v>
      </x:c>
    </x:row>
    <x:row r="180" ht="56" customHeight="1">
      <x:c r="A180" s="23" t="str">
        <x:v>James Tabor Expertise Gnosticism</x:v>
      </x:c>
      <x:c r="B180" s="23" t="str">
        <x:v>gpt2026dragon1900_James_Tabor_Expertise_Gnosticism.txt</x:v>
      </x:c>
      <x:c r="C180" s="23" t="str">
        <x:v>2025-07-15</x:v>
      </x:c>
      <x:c r="D180" s="23" t="n">
        <x:v>2</x:v>
      </x:c>
      <x:c r="E180" s="23" t="str"/>
      <x:c r="F180" s="23" t="n">
        <x:f>IF(E180="",0,LEN(E180)-LEN(SUBSTITUTE(E180,CHAR(10),""))+1)</x:f>
        <x:v>0</x:v>
      </x:c>
      <x:c r="G180" s="23" t="str"/>
      <x:c r="H180" s="23" t="n">
        <x:f>IF(G180="",0,LEN(G180&amp;"")-LEN(SUBSTITUTE(G180&amp;"",CHAR(10),""))+1)</x:f>
        <x:v>0</x:v>
      </x:c>
      <x:c r="I180" s="23" t="str"/>
      <x:c r="J180" s="23" t="str">
        <x:v>No developed-article link recorded</x:v>
      </x:c>
      <x:c r="K180" s="23" t="str">
        <x:v>Not inferred</x:v>
      </x:c>
      <x:c r="L180" s="34" t="str">
        <x:v>fea38bb421ace81720eaa4e3cbc0896c9d804e9a216f1ae5feb58d3261e591c6</x:v>
      </x:c>
      <x:c r="M180" s="32" t="n">
        <x:v>4682</x:v>
      </x:c>
      <x:c r="N180" s="23" t="str">
        <x:v>https://v5ma.github.io/theology-wiki/san-reader.html?page=james-tabor-expertise-gnosticism</x:v>
      </x:c>
    </x:row>
    <x:row r="181" ht="56" customHeight="1">
      <x:c r="A181" s="23" t="str">
        <x:v>James the Just Analysis</x:v>
      </x:c>
      <x:c r="B181" s="23" t="str">
        <x:v>gpt2026dragon1461_James_the_Just_Analysis.txt</x:v>
      </x:c>
      <x:c r="C181" s="23" t="str">
        <x:v>2025-05-10</x:v>
      </x:c>
      <x:c r="D181" s="23" t="n">
        <x:v>4</x:v>
      </x:c>
      <x:c r="E181" s="23" t="str">
        <x:v>james-and-contested-succession</x:v>
      </x:c>
      <x:c r="F181" s="23" t="n">
        <x:f>IF(E181="",0,LEN(E181)-LEN(SUBSTITUTE(E181,CHAR(10),""))+1)</x:f>
        <x:v>1</x:v>
      </x:c>
      <x:c r="G181" s="23" t="str"/>
      <x:c r="H181" s="23" t="n">
        <x:f>IF(G181="",0,LEN(G181&amp;"")-LEN(SUBSTITUTE(G181&amp;"",CHAR(10),""))+1)</x:f>
        <x:v>0</x:v>
      </x:c>
      <x:c r="I181" s="23" t="str">
        <x:v>teacher-identity
thomas</x:v>
      </x:c>
      <x:c r="J181" s="23" t="str">
        <x:v>Linked to developed article</x:v>
      </x:c>
      <x:c r="K181" s="23" t="str">
        <x:v>Not inferred</x:v>
      </x:c>
      <x:c r="L181" s="34" t="str">
        <x:v>f09ff2c41330eaf533ef4522a6171b541ec652c08e2a3ddd036bfcd49e40de6f</x:v>
      </x:c>
      <x:c r="M181" s="32" t="n">
        <x:v>7882</x:v>
      </x:c>
      <x:c r="N181" s="23" t="str">
        <x:v>https://v5ma.github.io/theology-wiki/san-reader.html?page=james-the-just-analysis</x:v>
      </x:c>
    </x:row>
    <x:row r="182" ht="56" customHeight="1">
      <x:c r="A182" s="23" t="str">
        <x:v>Jesus 7 levels of consciousness fact check</x:v>
      </x:c>
      <x:c r="B182" s="23" t="str">
        <x:v>gpt2026dragon2759_Jesus_7_levels_of_consciousness_fact_che.txt</x:v>
      </x:c>
      <x:c r="C182" s="23" t="str">
        <x:v>2025-11-14</x:v>
      </x:c>
      <x:c r="D182" s="23" t="n">
        <x:v>4</x:v>
      </x:c>
      <x:c r="E182" s="23" t="str"/>
      <x:c r="F182" s="23" t="n">
        <x:f>IF(E182="",0,LEN(E182)-LEN(SUBSTITUTE(E182,CHAR(10),""))+1)</x:f>
        <x:v>0</x:v>
      </x:c>
      <x:c r="G182" s="23" t="str"/>
      <x:c r="H182" s="23" t="n">
        <x:f>IF(G182="",0,LEN(G182&amp;"")-LEN(SUBSTITUTE(G182&amp;"",CHAR(10),""))+1)</x:f>
        <x:v>0</x:v>
      </x:c>
      <x:c r="I182" s="23" t="str"/>
      <x:c r="J182" s="23" t="str">
        <x:v>No developed-article link recorded</x:v>
      </x:c>
      <x:c r="K182" s="23" t="str">
        <x:v>Not inferred</x:v>
      </x:c>
      <x:c r="L182" s="34" t="str">
        <x:v>2b584f07d2d1109e8fbd2c8eb0e48fe16d0dfc0ae095f430d6203b11527fbdbd</x:v>
      </x:c>
      <x:c r="M182" s="32" t="n">
        <x:v>23552</x:v>
      </x:c>
      <x:c r="N182" s="23" t="str">
        <x:v>https://v5ma.github.io/theology-wiki/san-reader.html?page=jesus-7-levels-of-consciousness-fact-check</x:v>
      </x:c>
    </x:row>
    <x:row r="183" ht="56" customHeight="1">
      <x:c r="A183" s="23" t="str">
        <x:v>Jesus and biblical figures</x:v>
      </x:c>
      <x:c r="B183" s="23" t="str">
        <x:v>gpt2026dragon2331_Jesus_and_biblical_figures.txt</x:v>
      </x:c>
      <x:c r="C183" s="23" t="str">
        <x:v>2025-09-08</x:v>
      </x:c>
      <x:c r="D183" s="23" t="n">
        <x:v>10</x:v>
      </x:c>
      <x:c r="E183" s="23" t="str">
        <x:v>james-and-contested-succession
thomas-sayings-and-transmission</x:v>
      </x:c>
      <x:c r="F183" s="23" t="n">
        <x:f>IF(E183="",0,LEN(E183)-LEN(SUBSTITUTE(E183,CHAR(10),""))+1)</x:f>
        <x:v>2</x:v>
      </x:c>
      <x:c r="G183" s="23" t="str"/>
      <x:c r="H183" s="23" t="n">
        <x:f>IF(G183="",0,LEN(G183&amp;"")-LEN(SUBSTITUTE(G183&amp;"",CHAR(10),""))+1)</x:f>
        <x:v>0</x:v>
      </x:c>
      <x:c r="I183" s="23" t="str">
        <x:v>teacher-identity
thomas
gnosis
inner-model</x:v>
      </x:c>
      <x:c r="J183" s="23" t="str">
        <x:v>Linked to developed article</x:v>
      </x:c>
      <x:c r="K183" s="23" t="str">
        <x:v>Not inferred</x:v>
      </x:c>
      <x:c r="L183" s="34" t="str">
        <x:v>efce0d25248753399eafa8377e98b2e1d0cb457a7a634486a0d92b9534db0120</x:v>
      </x:c>
      <x:c r="M183" s="32" t="n">
        <x:v>49857</x:v>
      </x:c>
      <x:c r="N183" s="23" t="str">
        <x:v>https://v5ma.github.io/theology-wiki/san-reader.html?page=jesus-and-biblical-figures</x:v>
      </x:c>
    </x:row>
    <x:row r="184" ht="56" customHeight="1">
      <x:c r="A184" s="23" t="str">
        <x:v>Jesus and Dead Sea Scrolls</x:v>
      </x:c>
      <x:c r="B184" s="23" t="str">
        <x:v>gpt2026dragon1467_Jesus_and_Dead_Sea_Scrolls.txt</x:v>
      </x:c>
      <x:c r="C184" s="23" t="str">
        <x:v>2025-05-11</x:v>
      </x:c>
      <x:c r="D184" s="23" t="n">
        <x:v>2</x:v>
      </x:c>
      <x:c r="E184" s="23" t="str"/>
      <x:c r="F184" s="23" t="n">
        <x:f>IF(E184="",0,LEN(E184)-LEN(SUBSTITUTE(E184,CHAR(10),""))+1)</x:f>
        <x:v>0</x:v>
      </x:c>
      <x:c r="G184" s="23" t="str"/>
      <x:c r="H184" s="23" t="n">
        <x:f>IF(G184="",0,LEN(G184&amp;"")-LEN(SUBSTITUTE(G184&amp;"",CHAR(10),""))+1)</x:f>
        <x:v>0</x:v>
      </x:c>
      <x:c r="I184" s="23" t="str"/>
      <x:c r="J184" s="23" t="str">
        <x:v>No developed-article link recorded</x:v>
      </x:c>
      <x:c r="K184" s="23" t="str">
        <x:v>Not inferred</x:v>
      </x:c>
      <x:c r="L184" s="34" t="str">
        <x:v>8efadd76eb07ebff12e1ec8648aa72426a2fe4e3e881353ad8eeb1ce6c0141fb</x:v>
      </x:c>
      <x:c r="M184" s="32" t="n">
        <x:v>5022</x:v>
      </x:c>
      <x:c r="N184" s="23" t="str">
        <x:v>https://v5ma.github.io/theology-wiki/san-reader.html?page=jesus-and-dead-sea-scrolls</x:v>
      </x:c>
    </x:row>
    <x:row r="185" ht="56" customHeight="1">
      <x:c r="A185" s="23" t="str">
        <x:v>Jesus and Gnostic Teachings</x:v>
      </x:c>
      <x:c r="B185" s="23" t="str">
        <x:v>gpt2026dragon1455_Jesus_and_Gnostic_Teachings.txt</x:v>
      </x:c>
      <x:c r="C185" s="23" t="str">
        <x:v>2025-05-09</x:v>
      </x:c>
      <x:c r="D185" s="23" t="n">
        <x:v>2</x:v>
      </x:c>
      <x:c r="E185" s="23" t="str"/>
      <x:c r="F185" s="23" t="n">
        <x:f>IF(E185="",0,LEN(E185)-LEN(SUBSTITUTE(E185,CHAR(10),""))+1)</x:f>
        <x:v>0</x:v>
      </x:c>
      <x:c r="G185" s="23" t="str"/>
      <x:c r="H185" s="23" t="n">
        <x:f>IF(G185="",0,LEN(G185&amp;"")-LEN(SUBSTITUTE(G185&amp;"",CHAR(10),""))+1)</x:f>
        <x:v>0</x:v>
      </x:c>
      <x:c r="I185" s="23" t="str"/>
      <x:c r="J185" s="23" t="str">
        <x:v>No developed-article link recorded</x:v>
      </x:c>
      <x:c r="K185" s="23" t="str">
        <x:v>Not inferred</x:v>
      </x:c>
      <x:c r="L185" s="34" t="str">
        <x:v>089dc0467128d30ebd497b0989709f43fb77071aff2e722b759b0bb3390ba0b3</x:v>
      </x:c>
      <x:c r="M185" s="32" t="n">
        <x:v>5882</x:v>
      </x:c>
      <x:c r="N185" s="23" t="str">
        <x:v>https://v5ma.github.io/theology-wiki/san-reader.html?page=jesus-and-gnostic-teachings</x:v>
      </x:c>
    </x:row>
    <x:row r="186" ht="56" customHeight="1">
      <x:c r="A186" s="23" t="str">
        <x:v>Jesus and Neo Matrix</x:v>
      </x:c>
      <x:c r="B186" s="23" t="str">
        <x:v>gpt2026dragon1035_Jesus_and_Neo_Matrix.txt</x:v>
      </x:c>
      <x:c r="C186" s="23" t="str">
        <x:v>2025-03-03</x:v>
      </x:c>
      <x:c r="D186" s="23" t="n">
        <x:v>1</x:v>
      </x:c>
      <x:c r="E186" s="23" t="str"/>
      <x:c r="F186" s="23" t="n">
        <x:f>IF(E186="",0,LEN(E186)-LEN(SUBSTITUTE(E186,CHAR(10),""))+1)</x:f>
        <x:v>0</x:v>
      </x:c>
      <x:c r="G186" s="23" t="str"/>
      <x:c r="H186" s="23" t="n">
        <x:f>IF(G186="",0,LEN(G186&amp;"")-LEN(SUBSTITUTE(G186&amp;"",CHAR(10),""))+1)</x:f>
        <x:v>0</x:v>
      </x:c>
      <x:c r="I186" s="23" t="str"/>
      <x:c r="J186" s="23" t="str">
        <x:v>No developed-article link recorded</x:v>
      </x:c>
      <x:c r="K186" s="23" t="str">
        <x:v>Not inferred</x:v>
      </x:c>
      <x:c r="L186" s="34" t="str">
        <x:v>df067184f8f748896084a2514a771e6ad10b8321746aaf71c0e8a8797e003261</x:v>
      </x:c>
      <x:c r="M186" s="32" t="n">
        <x:v>318</x:v>
      </x:c>
      <x:c r="N186" s="23" t="str">
        <x:v>https://v5ma.github.io/theology-wiki/san-reader.html?page=jesus-and-neo-matrix</x:v>
      </x:c>
    </x:row>
    <x:row r="187" ht="56" customHeight="1">
      <x:c r="A187" s="23" t="str">
        <x:v>Jesus as a Teenager</x:v>
      </x:c>
      <x:c r="B187" s="23" t="str">
        <x:v>gpt2026dragon1694_Jesus_as_a_Teenager.txt</x:v>
      </x:c>
      <x:c r="C187" s="23" t="str">
        <x:v>2025-06-17</x:v>
      </x:c>
      <x:c r="D187" s="23" t="n">
        <x:v>14</x:v>
      </x:c>
      <x:c r="E187" s="23" t="str"/>
      <x:c r="F187" s="23" t="n">
        <x:f>IF(E187="",0,LEN(E187)-LEN(SUBSTITUTE(E187,CHAR(10),""))+1)</x:f>
        <x:v>0</x:v>
      </x:c>
      <x:c r="G187" s="23" t="str"/>
      <x:c r="H187" s="23" t="n">
        <x:f>IF(G187="",0,LEN(G187&amp;"")-LEN(SUBSTITUTE(G187&amp;"",CHAR(10),""))+1)</x:f>
        <x:v>0</x:v>
      </x:c>
      <x:c r="I187" s="23" t="str"/>
      <x:c r="J187" s="23" t="str">
        <x:v>No developed-article link recorded</x:v>
      </x:c>
      <x:c r="K187" s="23" t="str">
        <x:v>Not inferred</x:v>
      </x:c>
      <x:c r="L187" s="34" t="str">
        <x:v>604c6716606e4f23fa45f29ddf0a65f86d298da1d69826df67f7b6cc73d0f65e</x:v>
      </x:c>
      <x:c r="M187" s="32" t="n">
        <x:v>21212</x:v>
      </x:c>
      <x:c r="N187" s="23" t="str">
        <x:v>https://v5ma.github.io/theology-wiki/san-reader.html?page=jesus-as-a-teenager</x:v>
      </x:c>
    </x:row>
    <x:row r="188" ht="56" customHeight="1">
      <x:c r="A188" s="23" t="str">
        <x:v>Jesus as Philosopher Teacher</x:v>
      </x:c>
      <x:c r="B188" s="23" t="str">
        <x:v>gpt2026dragon1256_Jesus_as_Philosopher_Teacher.txt</x:v>
      </x:c>
      <x:c r="C188" s="23" t="str">
        <x:v>2025-04-04</x:v>
      </x:c>
      <x:c r="D188" s="23" t="n">
        <x:v>2</x:v>
      </x:c>
      <x:c r="E188" s="23" t="str"/>
      <x:c r="F188" s="23" t="n">
        <x:f>IF(E188="",0,LEN(E188)-LEN(SUBSTITUTE(E188,CHAR(10),""))+1)</x:f>
        <x:v>0</x:v>
      </x:c>
      <x:c r="G188" s="23" t="str"/>
      <x:c r="H188" s="23" t="n">
        <x:f>IF(G188="",0,LEN(G188&amp;"")-LEN(SUBSTITUTE(G188&amp;"",CHAR(10),""))+1)</x:f>
        <x:v>0</x:v>
      </x:c>
      <x:c r="I188" s="23" t="str"/>
      <x:c r="J188" s="23" t="str">
        <x:v>No developed-article link recorded</x:v>
      </x:c>
      <x:c r="K188" s="23" t="str">
        <x:v>Not inferred</x:v>
      </x:c>
      <x:c r="L188" s="34" t="str">
        <x:v>b1ed774f4042699042bfa50f3238f98e70d8bcf9ef8d21959c6edccb0ffd80c5</x:v>
      </x:c>
      <x:c r="M188" s="32" t="n">
        <x:v>4963</x:v>
      </x:c>
      <x:c r="N188" s="23" t="str">
        <x:v>https://v5ma.github.io/theology-wiki/san-reader.html?page=jesus-as-philosopher-teacher</x:v>
      </x:c>
    </x:row>
    <x:row r="189" ht="56" customHeight="1">
      <x:c r="A189" s="23" t="str">
        <x:v>Jesus as Storyteller</x:v>
      </x:c>
      <x:c r="B189" s="23" t="str">
        <x:v>gpt2026dragon1246_Jesus_as_Storyteller.txt</x:v>
      </x:c>
      <x:c r="C189" s="23" t="str">
        <x:v>2025-03-31</x:v>
      </x:c>
      <x:c r="D189" s="23" t="n">
        <x:v>6</x:v>
      </x:c>
      <x:c r="E189" s="23" t="str"/>
      <x:c r="F189" s="23" t="n">
        <x:f>IF(E189="",0,LEN(E189)-LEN(SUBSTITUTE(E189,CHAR(10),""))+1)</x:f>
        <x:v>0</x:v>
      </x:c>
      <x:c r="G189" s="23" t="str"/>
      <x:c r="H189" s="23" t="n">
        <x:f>IF(G189="",0,LEN(G189&amp;"")-LEN(SUBSTITUTE(G189&amp;"",CHAR(10),""))+1)</x:f>
        <x:v>0</x:v>
      </x:c>
      <x:c r="I189" s="23" t="str"/>
      <x:c r="J189" s="23" t="str">
        <x:v>No developed-article link recorded</x:v>
      </x:c>
      <x:c r="K189" s="23" t="str">
        <x:v>Not inferred</x:v>
      </x:c>
      <x:c r="L189" s="34" t="str">
        <x:v>5fe29ed57379e602cf850cd655a620f71f44e675494cca421697645d5b203e75</x:v>
      </x:c>
      <x:c r="M189" s="32" t="n">
        <x:v>8408</x:v>
      </x:c>
      <x:c r="N189" s="23" t="str">
        <x:v>https://v5ma.github.io/theology-wiki/san-reader.html?page=jesus-as-storyteller</x:v>
      </x:c>
    </x:row>
    <x:row r="190" ht="56" customHeight="1">
      <x:c r="A190" s="23" t="str">
        <x:v>Jesus Drives Out Merchants</x:v>
      </x:c>
      <x:c r="B190" s="23" t="str">
        <x:v>gpt2026dragon1916_Jesus_Drives_Out_Merchants.txt</x:v>
      </x:c>
      <x:c r="C190" s="23" t="str">
        <x:v>2025-07-18</x:v>
      </x:c>
      <x:c r="D190" s="23" t="n">
        <x:v>4</x:v>
      </x:c>
      <x:c r="E190" s="23" t="str"/>
      <x:c r="F190" s="23" t="n">
        <x:f>IF(E190="",0,LEN(E190)-LEN(SUBSTITUTE(E190,CHAR(10),""))+1)</x:f>
        <x:v>0</x:v>
      </x:c>
      <x:c r="G190" s="23" t="str"/>
      <x:c r="H190" s="23" t="n">
        <x:f>IF(G190="",0,LEN(G190&amp;"")-LEN(SUBSTITUTE(G190&amp;"",CHAR(10),""))+1)</x:f>
        <x:v>0</x:v>
      </x:c>
      <x:c r="I190" s="23" t="str"/>
      <x:c r="J190" s="23" t="str">
        <x:v>No developed-article link recorded</x:v>
      </x:c>
      <x:c r="K190" s="23" t="str">
        <x:v>Not inferred</x:v>
      </x:c>
      <x:c r="L190" s="34" t="str">
        <x:v>5d97f8796baf60cfedec84975b8e96d584b4e04eb5743bdc7815a53d13700fff</x:v>
      </x:c>
      <x:c r="M190" s="32" t="n">
        <x:v>2327</x:v>
      </x:c>
      <x:c r="N190" s="23" t="str">
        <x:v>https://v5ma.github.io/theology-wiki/san-reader.html?page=jesus-drives-out-merchants</x:v>
      </x:c>
    </x:row>
    <x:row r="191" ht="56" customHeight="1">
      <x:c r="A191" s="23" t="str">
        <x:v>Jesus Gnosticism and Myth</x:v>
      </x:c>
      <x:c r="B191" s="23" t="str">
        <x:v>gpt2026dragon1257_Jesus_Gnosticism_and_Myth.txt</x:v>
      </x:c>
      <x:c r="C191" s="23" t="str">
        <x:v>2025-04-04</x:v>
      </x:c>
      <x:c r="D191" s="23" t="n">
        <x:v>2</x:v>
      </x:c>
      <x:c r="E191" s="23" t="str"/>
      <x:c r="F191" s="23" t="n">
        <x:f>IF(E191="",0,LEN(E191)-LEN(SUBSTITUTE(E191,CHAR(10),""))+1)</x:f>
        <x:v>0</x:v>
      </x:c>
      <x:c r="G191" s="23" t="str"/>
      <x:c r="H191" s="23" t="n">
        <x:f>IF(G191="",0,LEN(G191&amp;"")-LEN(SUBSTITUTE(G191&amp;"",CHAR(10),""))+1)</x:f>
        <x:v>0</x:v>
      </x:c>
      <x:c r="I191" s="23" t="str"/>
      <x:c r="J191" s="23" t="str">
        <x:v>No developed-article link recorded</x:v>
      </x:c>
      <x:c r="K191" s="23" t="str">
        <x:v>Not inferred</x:v>
      </x:c>
      <x:c r="L191" s="34" t="str">
        <x:v>4fb70cece4e27eae58b4b5a868a8d2cb643ea626984c8a9b72a0e95345baaa56</x:v>
      </x:c>
      <x:c r="M191" s="32" t="n">
        <x:v>4357</x:v>
      </x:c>
      <x:c r="N191" s="23" t="str">
        <x:v>https://v5ma.github.io/theology-wiki/san-reader.html?page=jesus-gnosticism-and-myth</x:v>
      </x:c>
    </x:row>
    <x:row r="192" ht="56" customHeight="1">
      <x:c r="A192" s="23" t="str">
        <x:v>Jesus in Dead Sea Scrolls</x:v>
      </x:c>
      <x:c r="B192" s="23" t="str">
        <x:v>gpt2026dragon1703_Jesus_in_Dead_Sea_Scrolls.txt</x:v>
      </x:c>
      <x:c r="C192" s="23" t="str">
        <x:v>2025-06-18</x:v>
      </x:c>
      <x:c r="D192" s="23" t="n">
        <x:v>2</x:v>
      </x:c>
      <x:c r="E192" s="23" t="str"/>
      <x:c r="F192" s="23" t="n">
        <x:f>IF(E192="",0,LEN(E192)-LEN(SUBSTITUTE(E192,CHAR(10),""))+1)</x:f>
        <x:v>0</x:v>
      </x:c>
      <x:c r="G192" s="23" t="str"/>
      <x:c r="H192" s="23" t="n">
        <x:f>IF(G192="",0,LEN(G192&amp;"")-LEN(SUBSTITUTE(G192&amp;"",CHAR(10),""))+1)</x:f>
        <x:v>0</x:v>
      </x:c>
      <x:c r="I192" s="23" t="str"/>
      <x:c r="J192" s="23" t="str">
        <x:v>No developed-article link recorded</x:v>
      </x:c>
      <x:c r="K192" s="23" t="str">
        <x:v>Not inferred</x:v>
      </x:c>
      <x:c r="L192" s="34" t="str">
        <x:v>b350b95c29add36f6781a69658b15bbd07a6ee7e88961024dd4ee7c68c5b0776</x:v>
      </x:c>
      <x:c r="M192" s="32" t="n">
        <x:v>2255</x:v>
      </x:c>
      <x:c r="N192" s="23" t="str">
        <x:v>https://v5ma.github.io/theology-wiki/san-reader.html?page=jesus-in-dead-sea-scrolls</x:v>
      </x:c>
    </x:row>
    <x:row r="193" ht="56" customHeight="1">
      <x:c r="A193" s="23" t="str">
        <x:v>Jesus in Love Concept</x:v>
      </x:c>
      <x:c r="B193" s="23" t="str">
        <x:v>gpt2026dragon1285_Jesus_in_Love_Concept.txt</x:v>
      </x:c>
      <x:c r="C193" s="23" t="str">
        <x:v>2025-04-08</x:v>
      </x:c>
      <x:c r="D193" s="23" t="n">
        <x:v>2</x:v>
      </x:c>
      <x:c r="E193" s="23" t="str"/>
      <x:c r="F193" s="23" t="n">
        <x:f>IF(E193="",0,LEN(E193)-LEN(SUBSTITUTE(E193,CHAR(10),""))+1)</x:f>
        <x:v>0</x:v>
      </x:c>
      <x:c r="G193" s="23" t="str"/>
      <x:c r="H193" s="23" t="n">
        <x:f>IF(G193="",0,LEN(G193&amp;"")-LEN(SUBSTITUTE(G193&amp;"",CHAR(10),""))+1)</x:f>
        <x:v>0</x:v>
      </x:c>
      <x:c r="I193" s="23" t="str"/>
      <x:c r="J193" s="23" t="str">
        <x:v>No developed-article link recorded</x:v>
      </x:c>
      <x:c r="K193" s="23" t="str">
        <x:v>Not inferred</x:v>
      </x:c>
      <x:c r="L193" s="34" t="str">
        <x:v>f18a57785e586ce4b4c837bd2b07e5890b9579e2d0b51bb69673b8d92557719c</x:v>
      </x:c>
      <x:c r="M193" s="32" t="n">
        <x:v>4419</x:v>
      </x:c>
      <x:c r="N193" s="23" t="str">
        <x:v>https://v5ma.github.io/theology-wiki/san-reader.html?page=jesus-in-love-concept</x:v>
      </x:c>
    </x:row>
    <x:row r="194" ht="56" customHeight="1">
      <x:c r="A194" s="23" t="str">
        <x:v>Jesus James and Essenes</x:v>
      </x:c>
      <x:c r="B194" s="23" t="str">
        <x:v>gpt2026dragon1488_Jesus_James_and_Essenes.txt</x:v>
      </x:c>
      <x:c r="C194" s="23" t="str">
        <x:v>2025-05-13</x:v>
      </x:c>
      <x:c r="D194" s="23" t="n">
        <x:v>13</x:v>
      </x:c>
      <x:c r="E194" s="23" t="str"/>
      <x:c r="F194" s="23" t="n">
        <x:f>IF(E194="",0,LEN(E194)-LEN(SUBSTITUTE(E194,CHAR(10),""))+1)</x:f>
        <x:v>0</x:v>
      </x:c>
      <x:c r="G194" s="23" t="str"/>
      <x:c r="H194" s="23" t="n">
        <x:f>IF(G194="",0,LEN(G194&amp;"")-LEN(SUBSTITUTE(G194&amp;"",CHAR(10),""))+1)</x:f>
        <x:v>0</x:v>
      </x:c>
      <x:c r="I194" s="23" t="str"/>
      <x:c r="J194" s="23" t="str">
        <x:v>No developed-article link recorded</x:v>
      </x:c>
      <x:c r="K194" s="23" t="str">
        <x:v>Not inferred</x:v>
      </x:c>
      <x:c r="L194" s="34" t="str">
        <x:v>16a02b6a51e3c13265099f42c69e6741d3d3a5ab9252c74a1a397360528c990a</x:v>
      </x:c>
      <x:c r="M194" s="32" t="n">
        <x:v>28461</x:v>
      </x:c>
      <x:c r="N194" s="23" t="str">
        <x:v>https://v5ma.github.io/theology-wiki/san-reader.html?page=jesus-james-and-essenes</x:v>
      </x:c>
    </x:row>
    <x:row r="195" ht="56" customHeight="1">
      <x:c r="A195" s="23" t="str">
        <x:v>Jesus Long-Suffering vs Abraham Hicks</x:v>
      </x:c>
      <x:c r="B195" s="23" t="str">
        <x:v>gpt2026dragon1660_Jesus_Long-Suffering_vs_Abraham_Hicks.txt</x:v>
      </x:c>
      <x:c r="C195" s="23" t="str">
        <x:v>2025-06-11</x:v>
      </x:c>
      <x:c r="D195" s="23" t="n">
        <x:v>1</x:v>
      </x:c>
      <x:c r="E195" s="23" t="str"/>
      <x:c r="F195" s="23" t="n">
        <x:f>IF(E195="",0,LEN(E195)-LEN(SUBSTITUTE(E195,CHAR(10),""))+1)</x:f>
        <x:v>0</x:v>
      </x:c>
      <x:c r="G195" s="23" t="str"/>
      <x:c r="H195" s="23" t="n">
        <x:f>IF(G195="",0,LEN(G195&amp;"")-LEN(SUBSTITUTE(G195&amp;"",CHAR(10),""))+1)</x:f>
        <x:v>0</x:v>
      </x:c>
      <x:c r="I195" s="23" t="str"/>
      <x:c r="J195" s="23" t="str">
        <x:v>No developed-article link recorded</x:v>
      </x:c>
      <x:c r="K195" s="23" t="str">
        <x:v>Not inferred</x:v>
      </x:c>
      <x:c r="L195" s="34" t="str">
        <x:v>70c30f2d47909611adb330b89cb052171f81099d8292befe088b77bfcdeb4b2d</x:v>
      </x:c>
      <x:c r="M195" s="32" t="n">
        <x:v>2617</x:v>
      </x:c>
      <x:c r="N195" s="23" t="str">
        <x:v>https://v5ma.github.io/theology-wiki/san-reader.html?page=jesus-long-suffering-vs-abraham-hicks</x:v>
      </x:c>
    </x:row>
    <x:row r="196" ht="56" customHeight="1">
      <x:c r="A196" s="23" t="str">
        <x:v>Jesus Sayings Fact Check</x:v>
      </x:c>
      <x:c r="B196" s="23" t="str">
        <x:v>gpt2026dragon1336_Jesus_Sayings_Fact_Check.txt</x:v>
      </x:c>
      <x:c r="C196" s="23" t="str">
        <x:v>2025-04-20</x:v>
      </x:c>
      <x:c r="D196" s="23" t="n">
        <x:v>8</x:v>
      </x:c>
      <x:c r="E196" s="23" t="str"/>
      <x:c r="F196" s="23" t="n">
        <x:f>IF(E196="",0,LEN(E196)-LEN(SUBSTITUTE(E196,CHAR(10),""))+1)</x:f>
        <x:v>0</x:v>
      </x:c>
      <x:c r="G196" s="23" t="str"/>
      <x:c r="H196" s="23" t="n">
        <x:f>IF(G196="",0,LEN(G196&amp;"")-LEN(SUBSTITUTE(G196&amp;"",CHAR(10),""))+1)</x:f>
        <x:v>0</x:v>
      </x:c>
      <x:c r="I196" s="23" t="str"/>
      <x:c r="J196" s="23" t="str">
        <x:v>No developed-article link recorded</x:v>
      </x:c>
      <x:c r="K196" s="23" t="str">
        <x:v>Not inferred</x:v>
      </x:c>
      <x:c r="L196" s="34" t="str">
        <x:v>d2718fa2a25be42d7753701d2067497cfb8ed0c8565d1c51ed3a2cc0563551b6</x:v>
      </x:c>
      <x:c r="M196" s="32" t="n">
        <x:v>7778</x:v>
      </x:c>
      <x:c r="N196" s="23" t="str">
        <x:v>https://v5ma.github.io/theology-wiki/san-reader.html?page=jesus-sayings-fact-check</x:v>
      </x:c>
    </x:row>
    <x:row r="197" ht="56" customHeight="1">
      <x:c r="A197" s="23" t="str">
        <x:v>Jesus teachings on divorce</x:v>
      </x:c>
      <x:c r="B197" s="23" t="str">
        <x:v>gpt2026dragon1917_Jesus_teachings_on_divorce.txt</x:v>
      </x:c>
      <x:c r="C197" s="23" t="str">
        <x:v>2025-07-18</x:v>
      </x:c>
      <x:c r="D197" s="23" t="n">
        <x:v>4</x:v>
      </x:c>
      <x:c r="E197" s="23" t="str"/>
      <x:c r="F197" s="23" t="n">
        <x:f>IF(E197="",0,LEN(E197)-LEN(SUBSTITUTE(E197,CHAR(10),""))+1)</x:f>
        <x:v>0</x:v>
      </x:c>
      <x:c r="G197" s="23" t="str"/>
      <x:c r="H197" s="23" t="n">
        <x:f>IF(G197="",0,LEN(G197&amp;"")-LEN(SUBSTITUTE(G197&amp;"",CHAR(10),""))+1)</x:f>
        <x:v>0</x:v>
      </x:c>
      <x:c r="I197" s="23" t="str"/>
      <x:c r="J197" s="23" t="str">
        <x:v>No developed-article link recorded</x:v>
      </x:c>
      <x:c r="K197" s="23" t="str">
        <x:v>Not inferred</x:v>
      </x:c>
      <x:c r="L197" s="34" t="str">
        <x:v>f5e874039d39abc3d2764b683d3039af46066fbc68cd4eb420c5ba40483feddf</x:v>
      </x:c>
      <x:c r="M197" s="32" t="n">
        <x:v>3210</x:v>
      </x:c>
      <x:c r="N197" s="23" t="str">
        <x:v>https://v5ma.github.io/theology-wiki/san-reader.html?page=jesus-teachings-on-divorce</x:v>
      </x:c>
    </x:row>
    <x:row r="198" ht="56" customHeight="1">
      <x:c r="A198" s="23" t="str">
        <x:v>Jesus Teachings Overview</x:v>
      </x:c>
      <x:c r="B198" s="23" t="str">
        <x:v>gpt2026dragon425_Jesus_Teachings_Overview.txt</x:v>
      </x:c>
      <x:c r="C198" s="23" t="str">
        <x:v>2024-11-17</x:v>
      </x:c>
      <x:c r="D198" s="23" t="n">
        <x:v>3</x:v>
      </x:c>
      <x:c r="E198" s="23" t="str"/>
      <x:c r="F198" s="23" t="n">
        <x:f>IF(E198="",0,LEN(E198)-LEN(SUBSTITUTE(E198,CHAR(10),""))+1)</x:f>
        <x:v>0</x:v>
      </x:c>
      <x:c r="G198" s="23" t="str"/>
      <x:c r="H198" s="23" t="n">
        <x:f>IF(G198="",0,LEN(G198&amp;"")-LEN(SUBSTITUTE(G198&amp;"",CHAR(10),""))+1)</x:f>
        <x:v>0</x:v>
      </x:c>
      <x:c r="I198" s="23" t="str"/>
      <x:c r="J198" s="23" t="str">
        <x:v>No developed-article link recorded</x:v>
      </x:c>
      <x:c r="K198" s="23" t="str">
        <x:v>Not inferred</x:v>
      </x:c>
      <x:c r="L198" s="34" t="str">
        <x:v>07c7f7f17654c04bb61112577b88e1579cefa4c788e1a67b9d4988b25a55d409</x:v>
      </x:c>
      <x:c r="M198" s="32" t="n">
        <x:v>11871</x:v>
      </x:c>
      <x:c r="N198" s="23" t="str">
        <x:v>https://v5ma.github.io/theology-wiki/san-reader.html?page=jesus-teachings-overview</x:v>
      </x:c>
    </x:row>
    <x:row r="199" ht="56" customHeight="1">
      <x:c r="A199" s="23" t="str">
        <x:v>Jesus Teachings Pineal Gland</x:v>
      </x:c>
      <x:c r="B199" s="23" t="str">
        <x:v>gpt2026dragon1848_Jesus_Teachings_Pineal_Gland.txt</x:v>
      </x:c>
      <x:c r="C199" s="23" t="str">
        <x:v>2025-07-07</x:v>
      </x:c>
      <x:c r="D199" s="23" t="n">
        <x:v>7</x:v>
      </x:c>
      <x:c r="E199" s="23" t="str"/>
      <x:c r="F199" s="23" t="n">
        <x:f>IF(E199="",0,LEN(E199)-LEN(SUBSTITUTE(E199,CHAR(10),""))+1)</x:f>
        <x:v>0</x:v>
      </x:c>
      <x:c r="G199" s="23" t="str"/>
      <x:c r="H199" s="23" t="n">
        <x:f>IF(G199="",0,LEN(G199&amp;"")-LEN(SUBSTITUTE(G199&amp;"",CHAR(10),""))+1)</x:f>
        <x:v>0</x:v>
      </x:c>
      <x:c r="I199" s="23" t="str"/>
      <x:c r="J199" s="23" t="str">
        <x:v>No developed-article link recorded</x:v>
      </x:c>
      <x:c r="K199" s="23" t="str">
        <x:v>Not inferred</x:v>
      </x:c>
      <x:c r="L199" s="34" t="str">
        <x:v>e99ea04115df2b018beaab8c5af5c03f51630fda3c08b1a5a900a8e04f5c0b1e</x:v>
      </x:c>
      <x:c r="M199" s="32" t="n">
        <x:v>12843</x:v>
      </x:c>
      <x:c r="N199" s="23" t="str">
        <x:v>https://v5ma.github.io/theology-wiki/san-reader.html?page=jesus-teachings-pineal-gland</x:v>
      </x:c>
    </x:row>
    <x:row r="200" ht="56" customHeight="1">
      <x:c r="A200" s="23" t="str">
        <x:v>Jesus Teachings Simplified</x:v>
      </x:c>
      <x:c r="B200" s="23" t="str">
        <x:v>gpt2026dragon1070_Jesus_Teachings_Simplified.txt</x:v>
      </x:c>
      <x:c r="C200" s="23" t="str">
        <x:v>2025-03-06</x:v>
      </x:c>
      <x:c r="D200" s="23" t="n">
        <x:v>80</x:v>
      </x:c>
      <x:c r="E200" s="23" t="str"/>
      <x:c r="F200" s="23" t="n">
        <x:f>IF(E200="",0,LEN(E200)-LEN(SUBSTITUTE(E200,CHAR(10),""))+1)</x:f>
        <x:v>0</x:v>
      </x:c>
      <x:c r="G200" s="23" t="str"/>
      <x:c r="H200" s="23" t="n">
        <x:f>IF(G200="",0,LEN(G200&amp;"")-LEN(SUBSTITUTE(G200&amp;"",CHAR(10),""))+1)</x:f>
        <x:v>0</x:v>
      </x:c>
      <x:c r="I200" s="23" t="str"/>
      <x:c r="J200" s="23" t="str">
        <x:v>No developed-article link recorded</x:v>
      </x:c>
      <x:c r="K200" s="23" t="str">
        <x:v>Not inferred</x:v>
      </x:c>
      <x:c r="L200" s="34" t="str">
        <x:v>96ef3092ba64b24c27eb68a35c7baa54e0d0c752b775b0e90e0f9756548f57bf</x:v>
      </x:c>
      <x:c r="M200" s="32" t="n">
        <x:v>42955</x:v>
      </x:c>
      <x:c r="N200" s="23" t="str">
        <x:v>https://v5ma.github.io/theology-wiki/san-reader.html?page=jesus-teachings-simplified</x:v>
      </x:c>
    </x:row>
    <x:row r="201" ht="56" customHeight="1">
      <x:c r="A201" s="23" t="str">
        <x:v>Jesus Temple Sacrifices Debate</x:v>
      </x:c>
      <x:c r="B201" s="23" t="str">
        <x:v>gpt2026dragon1690_Jesus_Temple_Sacrifices_Debate.txt</x:v>
      </x:c>
      <x:c r="C201" s="23" t="str">
        <x:v>2025-06-17</x:v>
      </x:c>
      <x:c r="D201" s="23" t="n">
        <x:v>4</x:v>
      </x:c>
      <x:c r="E201" s="23" t="str"/>
      <x:c r="F201" s="23" t="n">
        <x:f>IF(E201="",0,LEN(E201)-LEN(SUBSTITUTE(E201,CHAR(10),""))+1)</x:f>
        <x:v>0</x:v>
      </x:c>
      <x:c r="G201" s="23" t="str"/>
      <x:c r="H201" s="23" t="n">
        <x:f>IF(G201="",0,LEN(G201&amp;"")-LEN(SUBSTITUTE(G201&amp;"",CHAR(10),""))+1)</x:f>
        <x:v>0</x:v>
      </x:c>
      <x:c r="I201" s="23" t="str"/>
      <x:c r="J201" s="23" t="str">
        <x:v>No developed-article link recorded</x:v>
      </x:c>
      <x:c r="K201" s="23" t="str">
        <x:v>Not inferred</x:v>
      </x:c>
      <x:c r="L201" s="34" t="str">
        <x:v>c395ac04206c351a36be093e189b07b35e107d4fe79efd3b8d7868b4e4fcda50</x:v>
      </x:c>
      <x:c r="M201" s="32" t="n">
        <x:v>8665</x:v>
      </x:c>
      <x:c r="N201" s="23" t="str">
        <x:v>https://v5ma.github.io/theology-wiki/san-reader.html?page=jesus-temple-sacrifices-debate</x:v>
      </x:c>
    </x:row>
    <x:row r="202" ht="56" customHeight="1">
      <x:c r="A202" s="23" t="str">
        <x:v>Jesus timeline analysis</x:v>
      </x:c>
      <x:c r="B202" s="23" t="str">
        <x:v>gpt2026dragon2422_Jesus_timeline_analysis.txt</x:v>
      </x:c>
      <x:c r="C202" s="23" t="str">
        <x:v>2025-09-21</x:v>
      </x:c>
      <x:c r="D202" s="23" t="n">
        <x:v>3</x:v>
      </x:c>
      <x:c r="E202" s="23" t="str"/>
      <x:c r="F202" s="23" t="n">
        <x:f>IF(E202="",0,LEN(E202)-LEN(SUBSTITUTE(E202,CHAR(10),""))+1)</x:f>
        <x:v>0</x:v>
      </x:c>
      <x:c r="G202" s="23" t="str"/>
      <x:c r="H202" s="23" t="n">
        <x:f>IF(G202="",0,LEN(G202&amp;"")-LEN(SUBSTITUTE(G202&amp;"",CHAR(10),""))+1)</x:f>
        <x:v>0</x:v>
      </x:c>
      <x:c r="I202" s="23" t="str"/>
      <x:c r="J202" s="23" t="str">
        <x:v>No developed-article link recorded</x:v>
      </x:c>
      <x:c r="K202" s="23" t="str">
        <x:v>Not inferred</x:v>
      </x:c>
      <x:c r="L202" s="34" t="str">
        <x:v>2f5a3078804956f2c7113e8527b8de3408ff23aa52ff8075f447d2ddf6cad39d</x:v>
      </x:c>
      <x:c r="M202" s="32" t="n">
        <x:v>12796</x:v>
      </x:c>
      <x:c r="N202" s="23" t="str">
        <x:v>https://v5ma.github.io/theology-wiki/san-reader.html?page=jesus-timeline-analysis</x:v>
      </x:c>
    </x:row>
    <x:row r="203" ht="56" customHeight="1">
      <x:c r="A203" s="23" t="str">
        <x:v>Jesus vs Ahura Mazda</x:v>
      </x:c>
      <x:c r="B203" s="23" t="str">
        <x:v>gpt2026dragon1434_Jesus_vs_Ahura_Mazda.txt</x:v>
      </x:c>
      <x:c r="C203" s="23" t="str">
        <x:v>2025-05-05</x:v>
      </x:c>
      <x:c r="D203" s="23" t="n">
        <x:v>6</x:v>
      </x:c>
      <x:c r="E203" s="23" t="str"/>
      <x:c r="F203" s="23" t="n">
        <x:f>IF(E203="",0,LEN(E203)-LEN(SUBSTITUTE(E203,CHAR(10),""))+1)</x:f>
        <x:v>0</x:v>
      </x:c>
      <x:c r="G203" s="23" t="str"/>
      <x:c r="H203" s="23" t="n">
        <x:f>IF(G203="",0,LEN(G203&amp;"")-LEN(SUBSTITUTE(G203&amp;"",CHAR(10),""))+1)</x:f>
        <x:v>0</x:v>
      </x:c>
      <x:c r="I203" s="23" t="str"/>
      <x:c r="J203" s="23" t="str">
        <x:v>No developed-article link recorded</x:v>
      </x:c>
      <x:c r="K203" s="23" t="str">
        <x:v>Not inferred</x:v>
      </x:c>
      <x:c r="L203" s="34" t="str">
        <x:v>01fd39ce732860d54092641c1d36e2f682fcfb867d1a65341e7e2c8ecee83e12</x:v>
      </x:c>
      <x:c r="M203" s="32" t="n">
        <x:v>10185</x:v>
      </x:c>
      <x:c r="N203" s="23" t="str">
        <x:v>https://v5ma.github.io/theology-wiki/san-reader.html?page=jesus-vs-ahura-mazda</x:v>
      </x:c>
    </x:row>
    <x:row r="204" ht="56" customHeight="1">
      <x:c r="A204" s="23" t="str">
        <x:v>Jesus vs Paul on Salvation</x:v>
      </x:c>
      <x:c r="B204" s="23" t="str">
        <x:v>gpt2026dragon1581_Jesus_vs_Paul_on_Salvation.txt</x:v>
      </x:c>
      <x:c r="C204" s="23" t="str">
        <x:v>2025-05-29</x:v>
      </x:c>
      <x:c r="D204" s="23" t="n">
        <x:v>8</x:v>
      </x:c>
      <x:c r="E204" s="23" t="str"/>
      <x:c r="F204" s="23" t="n">
        <x:f>IF(E204="",0,LEN(E204)-LEN(SUBSTITUTE(E204,CHAR(10),""))+1)</x:f>
        <x:v>0</x:v>
      </x:c>
      <x:c r="G204" s="23" t="str"/>
      <x:c r="H204" s="23" t="n">
        <x:f>IF(G204="",0,LEN(G204&amp;"")-LEN(SUBSTITUTE(G204&amp;"",CHAR(10),""))+1)</x:f>
        <x:v>0</x:v>
      </x:c>
      <x:c r="I204" s="23" t="str"/>
      <x:c r="J204" s="23" t="str">
        <x:v>No developed-article link recorded</x:v>
      </x:c>
      <x:c r="K204" s="23" t="str">
        <x:v>Not inferred</x:v>
      </x:c>
      <x:c r="L204" s="34" t="str">
        <x:v>8ad718826ae2f27937061495486913a453302e3b2ead42b5f00af3a3fdadcfd7</x:v>
      </x:c>
      <x:c r="M204" s="32" t="n">
        <x:v>8625</x:v>
      </x:c>
      <x:c r="N204" s="23" t="str">
        <x:v>https://v5ma.github.io/theology-wiki/san-reader.html?page=jesus-vs-paul-on-salvation</x:v>
      </x:c>
    </x:row>
    <x:row r="205" ht="56" customHeight="1">
      <x:c r="A205" s="23" t="str">
        <x:v>Jesus vs Paul vs Gnosticism</x:v>
      </x:c>
      <x:c r="B205" s="23" t="str">
        <x:v>gpt2026dragon1519_Jesus_vs_Paul_vs_Gnosticism.txt</x:v>
      </x:c>
      <x:c r="C205" s="23" t="str">
        <x:v>2025-05-18</x:v>
      </x:c>
      <x:c r="D205" s="23" t="n">
        <x:v>17</x:v>
      </x:c>
      <x:c r="E205" s="23" t="str"/>
      <x:c r="F205" s="23" t="n">
        <x:f>IF(E205="",0,LEN(E205)-LEN(SUBSTITUTE(E205,CHAR(10),""))+1)</x:f>
        <x:v>0</x:v>
      </x:c>
      <x:c r="G205" s="23" t="str"/>
      <x:c r="H205" s="23" t="n">
        <x:f>IF(G205="",0,LEN(G205&amp;"")-LEN(SUBSTITUTE(G205&amp;"",CHAR(10),""))+1)</x:f>
        <x:v>0</x:v>
      </x:c>
      <x:c r="I205" s="23" t="str"/>
      <x:c r="J205" s="23" t="str">
        <x:v>No developed-article link recorded</x:v>
      </x:c>
      <x:c r="K205" s="23" t="str">
        <x:v>Not inferred</x:v>
      </x:c>
      <x:c r="L205" s="34" t="str">
        <x:v>67c6aec5854ef3ab5cf4332fb5e4600d89329cd05acea3913416a267386b0811</x:v>
      </x:c>
      <x:c r="M205" s="32" t="n">
        <x:v>15209</x:v>
      </x:c>
      <x:c r="N205" s="23" t="str">
        <x:v>https://v5ma.github.io/theology-wiki/san-reader.html?page=jesus-vs-paul-vs-gnosticism</x:v>
      </x:c>
    </x:row>
    <x:row r="206" ht="56" customHeight="1">
      <x:c r="A206" s="23" t="str">
        <x:v>Jesus vs Yahweh Debate</x:v>
      </x:c>
      <x:c r="B206" s="23" t="str">
        <x:v>gpt2026dragon1402_Jesus_vs_Yahweh_Debate.txt</x:v>
      </x:c>
      <x:c r="C206" s="23" t="str">
        <x:v>2025-04-29</x:v>
      </x:c>
      <x:c r="D206" s="23" t="n">
        <x:v>15</x:v>
      </x:c>
      <x:c r="E206" s="23" t="str"/>
      <x:c r="F206" s="23" t="n">
        <x:f>IF(E206="",0,LEN(E206)-LEN(SUBSTITUTE(E206,CHAR(10),""))+1)</x:f>
        <x:v>0</x:v>
      </x:c>
      <x:c r="G206" s="23" t="str"/>
      <x:c r="H206" s="23" t="n">
        <x:f>IF(G206="",0,LEN(G206&amp;"")-LEN(SUBSTITUTE(G206&amp;"",CHAR(10),""))+1)</x:f>
        <x:v>0</x:v>
      </x:c>
      <x:c r="I206" s="23" t="str"/>
      <x:c r="J206" s="23" t="str">
        <x:v>No developed-article link recorded</x:v>
      </x:c>
      <x:c r="K206" s="23" t="str">
        <x:v>Not inferred</x:v>
      </x:c>
      <x:c r="L206" s="34" t="str">
        <x:v>539a214385e309baf1a001d4f72c36526ab366dc3a02a1bae9be810cab7a65ce</x:v>
      </x:c>
      <x:c r="M206" s="32" t="n">
        <x:v>35102</x:v>
      </x:c>
      <x:c r="N206" s="23" t="str">
        <x:v>https://v5ma.github.io/theology-wiki/san-reader.html?page=jesus-vs-yahweh-debate</x:v>
      </x:c>
    </x:row>
    <x:row r="207" ht="56" customHeight="1">
      <x:c r="A207" s="23" t="str">
        <x:v>Jesus Way Origins</x:v>
      </x:c>
      <x:c r="B207" s="23" t="str">
        <x:v>gpt2026dragon1621_Jesus_Way_Origins.txt</x:v>
      </x:c>
      <x:c r="C207" s="23" t="str">
        <x:v>2025-06-03</x:v>
      </x:c>
      <x:c r="D207" s="23" t="n">
        <x:v>10</x:v>
      </x:c>
      <x:c r="E207" s="23" t="str"/>
      <x:c r="F207" s="23" t="n">
        <x:f>IF(E207="",0,LEN(E207)-LEN(SUBSTITUTE(E207,CHAR(10),""))+1)</x:f>
        <x:v>0</x:v>
      </x:c>
      <x:c r="G207" s="23" t="str"/>
      <x:c r="H207" s="23" t="n">
        <x:f>IF(G207="",0,LEN(G207&amp;"")-LEN(SUBSTITUTE(G207&amp;"",CHAR(10),""))+1)</x:f>
        <x:v>0</x:v>
      </x:c>
      <x:c r="I207" s="23" t="str"/>
      <x:c r="J207" s="23" t="str">
        <x:v>No developed-article link recorded</x:v>
      </x:c>
      <x:c r="K207" s="23" t="str">
        <x:v>Not inferred</x:v>
      </x:c>
      <x:c r="L207" s="34" t="str">
        <x:v>4d2ae0d2351a6f6d974818afb0b0de77ba7e15a3bd5b443b4eeb2893454a59fa</x:v>
      </x:c>
      <x:c r="M207" s="32" t="n">
        <x:v>68015</x:v>
      </x:c>
      <x:c r="N207" s="23" t="str">
        <x:v>https://v5ma.github.io/theology-wiki/san-reader.html?page=jesus-way-origins</x:v>
      </x:c>
    </x:row>
    <x:row r="208" ht="56" customHeight="1">
      <x:c r="A208" s="23" t="str">
        <x:v>Jewish Apocalyptic Repair Timeline</x:v>
      </x:c>
      <x:c r="B208" s="23" t="str">
        <x:v>gpt2026dragon1912_Jewish_Apocalyptic_Repair_Timeline.txt</x:v>
      </x:c>
      <x:c r="C208" s="23" t="str">
        <x:v>2025-07-16</x:v>
      </x:c>
      <x:c r="D208" s="23" t="n">
        <x:v>4</x:v>
      </x:c>
      <x:c r="E208" s="23" t="str">
        <x:v>apocalyptic-repair-theology
gnosticism-and-temple-trauma
tor-thomas-and-gnostic-transmission
manuscripts-movements-and-survival</x:v>
      </x:c>
      <x:c r="F208" s="23" t="n">
        <x:f>IF(E208="",0,LEN(E208)-LEN(SUBSTITUTE(E208,CHAR(10),""))+1)</x:f>
        <x:v>4</x:v>
      </x:c>
      <x:c r="G208" s="23" t="str">
        <x:v>Turn 1</x:v>
      </x:c>
      <x:c r="H208" s="23" t="n">
        <x:f>IF(G208="",0,LEN(G208&amp;"")-LEN(SUBSTITUTE(G208&amp;"",CHAR(10),""))+1)</x:f>
        <x:v>1</x:v>
      </x:c>
      <x:c r="I208" s="23" t="str">
        <x:v>thomas
trauma
repair-practice
continuing</x:v>
      </x:c>
      <x:c r="J208" s="23" t="str">
        <x:v>Linked to developed article</x:v>
      </x:c>
      <x:c r="K208" s="23" t="str">
        <x:v>Not inferred</x:v>
      </x:c>
      <x:c r="L208" s="34" t="str">
        <x:v>c0c20975bce6245177fbdddd904238961580ed68172bf4502025182a8bd3fa66</x:v>
      </x:c>
      <x:c r="M208" s="32" t="n">
        <x:v>34332</x:v>
      </x:c>
      <x:c r="N208" s="23" t="str">
        <x:v>https://v5ma.github.io/theology-wiki/san-reader.html?page=jewish-apocalyptic-repair-timeline</x:v>
      </x:c>
    </x:row>
    <x:row r="209" ht="56" customHeight="1">
      <x:c r="A209" s="23" t="str">
        <x:v>Jews and Canaanites Origins</x:v>
      </x:c>
      <x:c r="B209" s="23" t="str">
        <x:v>gpt2026dragon1009_Jews_and_Canaanites_Origins.txt</x:v>
      </x:c>
      <x:c r="C209" s="23" t="str">
        <x:v>2025-02-27</x:v>
      </x:c>
      <x:c r="D209" s="23" t="n">
        <x:v>2</x:v>
      </x:c>
      <x:c r="E209" s="23" t="str">
        <x:v>el-in-ancient-egypt</x:v>
      </x:c>
      <x:c r="F209" s="23" t="n">
        <x:f>IF(E209="",0,LEN(E209)-LEN(SUBSTITUTE(E209,CHAR(10),""))+1)</x:f>
        <x:v>1</x:v>
      </x:c>
      <x:c r="G209" s="23" t="str"/>
      <x:c r="H209" s="23" t="n">
        <x:f>IF(G209="",0,LEN(G209&amp;"")-LEN(SUBSTITUTE(G209&amp;"",CHAR(10),""))+1)</x:f>
        <x:v>0</x:v>
      </x:c>
      <x:c r="I209" s="23" t="str">
        <x:v>names</x:v>
      </x:c>
      <x:c r="J209" s="23" t="str">
        <x:v>Linked to developed article</x:v>
      </x:c>
      <x:c r="K209" s="23" t="str">
        <x:v>Not inferred</x:v>
      </x:c>
      <x:c r="L209" s="34" t="str">
        <x:v>e4e081499d892edb414439061341d13d915372fd7a67820a724a145ae1d91bc8</x:v>
      </x:c>
      <x:c r="M209" s="32" t="n">
        <x:v>7037</x:v>
      </x:c>
      <x:c r="N209" s="23" t="str">
        <x:v>https://v5ma.github.io/theology-wiki/san-reader.html?page=jews-and-canaanites-origins</x:v>
      </x:c>
    </x:row>
    <x:row r="210" ht="56" customHeight="1">
      <x:c r="A210" s="23" t="str">
        <x:v>Johannine Theology Overview</x:v>
      </x:c>
      <x:c r="B210" s="23" t="str">
        <x:v>gpt2026dragon947_Johannine_Theology_Overview.txt</x:v>
      </x:c>
      <x:c r="C210" s="23" t="str">
        <x:v>2025-02-15</x:v>
      </x:c>
      <x:c r="D210" s="23" t="n">
        <x:v>16</x:v>
      </x:c>
      <x:c r="E210" s="23" t="str"/>
      <x:c r="F210" s="23" t="n">
        <x:f>IF(E210="",0,LEN(E210)-LEN(SUBSTITUTE(E210,CHAR(10),""))+1)</x:f>
        <x:v>0</x:v>
      </x:c>
      <x:c r="G210" s="23" t="str"/>
      <x:c r="H210" s="23" t="n">
        <x:f>IF(G210="",0,LEN(G210&amp;"")-LEN(SUBSTITUTE(G210&amp;"",CHAR(10),""))+1)</x:f>
        <x:v>0</x:v>
      </x:c>
      <x:c r="I210" s="23" t="str"/>
      <x:c r="J210" s="23" t="str">
        <x:v>No developed-article link recorded</x:v>
      </x:c>
      <x:c r="K210" s="23" t="str">
        <x:v>Not inferred</x:v>
      </x:c>
      <x:c r="L210" s="34" t="str">
        <x:v>b74108fd799088aa9a5926b8e01e2835beeb961574c15004760fb74765dc450e</x:v>
      </x:c>
      <x:c r="M210" s="32" t="n">
        <x:v>17103</x:v>
      </x:c>
      <x:c r="N210" s="23" t="str">
        <x:v>https://v5ma.github.io/theology-wiki/san-reader.html?page=johannine-theology-overview</x:v>
      </x:c>
    </x:row>
    <x:row r="211" ht="56" customHeight="1">
      <x:c r="A211" s="23" t="str">
        <x:v>Joke Style Analysis</x:v>
      </x:c>
      <x:c r="B211" s="23" t="str">
        <x:v>gpt2026dragon1386_Joke_Style_Analysis.txt</x:v>
      </x:c>
      <x:c r="C211" s="23" t="str">
        <x:v>2025-04-27</x:v>
      </x:c>
      <x:c r="D211" s="23" t="n">
        <x:v>20</x:v>
      </x:c>
      <x:c r="E211" s="23" t="str"/>
      <x:c r="F211" s="23" t="n">
        <x:f>IF(E211="",0,LEN(E211)-LEN(SUBSTITUTE(E211,CHAR(10),""))+1)</x:f>
        <x:v>0</x:v>
      </x:c>
      <x:c r="G211" s="23" t="str"/>
      <x:c r="H211" s="23" t="n">
        <x:f>IF(G211="",0,LEN(G211&amp;"")-LEN(SUBSTITUTE(G211&amp;"",CHAR(10),""))+1)</x:f>
        <x:v>0</x:v>
      </x:c>
      <x:c r="I211" s="23" t="str"/>
      <x:c r="J211" s="23" t="str">
        <x:v>No developed-article link recorded</x:v>
      </x:c>
      <x:c r="K211" s="23" t="str">
        <x:v>Not inferred</x:v>
      </x:c>
      <x:c r="L211" s="34" t="str">
        <x:v>755490f53e0eb7bc45769c1db9b54dde70acfdc259b5852e83fcc2f716f2ad3d</x:v>
      </x:c>
      <x:c r="M211" s="32" t="n">
        <x:v>15870</x:v>
      </x:c>
      <x:c r="N211" s="23" t="str">
        <x:v>https://v5ma.github.io/theology-wiki/san-reader.html?page=joke-style-analysis</x:v>
      </x:c>
    </x:row>
    <x:row r="212" ht="56" customHeight="1">
      <x:c r="A212" s="23" t="str">
        <x:v>Judaism History Debate</x:v>
      </x:c>
      <x:c r="B212" s="23" t="str">
        <x:v>gpt2026dragon3025_Judaism_History_Debate.txt</x:v>
      </x:c>
      <x:c r="C212" s="23" t="str">
        <x:v>2026-01-22</x:v>
      </x:c>
      <x:c r="D212" s="23" t="n">
        <x:v>2</x:v>
      </x:c>
      <x:c r="E212" s="23" t="str"/>
      <x:c r="F212" s="23" t="n">
        <x:f>IF(E212="",0,LEN(E212)-LEN(SUBSTITUTE(E212,CHAR(10),""))+1)</x:f>
        <x:v>0</x:v>
      </x:c>
      <x:c r="G212" s="23" t="str"/>
      <x:c r="H212" s="23" t="n">
        <x:f>IF(G212="",0,LEN(G212&amp;"")-LEN(SUBSTITUTE(G212&amp;"",CHAR(10),""))+1)</x:f>
        <x:v>0</x:v>
      </x:c>
      <x:c r="I212" s="23" t="str"/>
      <x:c r="J212" s="23" t="str">
        <x:v>No developed-article link recorded</x:v>
      </x:c>
      <x:c r="K212" s="23" t="str">
        <x:v>Not inferred</x:v>
      </x:c>
      <x:c r="L212" s="34" t="str">
        <x:v>1cffd54068878c13d1010ae5d873d6c9efe3b348672a2cb725207b8d28344c6d</x:v>
      </x:c>
      <x:c r="M212" s="32" t="n">
        <x:v>6226</x:v>
      </x:c>
      <x:c r="N212" s="23" t="str">
        <x:v>https://v5ma.github.io/theology-wiki/san-reader.html?page=judaism-history-debate</x:v>
      </x:c>
    </x:row>
    <x:row r="213" ht="56" customHeight="1">
      <x:c r="A213" s="23" t="str">
        <x:v>Judas Gnostic View Explained</x:v>
      </x:c>
      <x:c r="B213" s="23" t="str">
        <x:v>gpt2026dragon1511_Judas_Gnostic_View_Explained.txt</x:v>
      </x:c>
      <x:c r="C213" s="23" t="str">
        <x:v>2025-05-17</x:v>
      </x:c>
      <x:c r="D213" s="23" t="n">
        <x:v>8</x:v>
      </x:c>
      <x:c r="E213" s="23" t="str"/>
      <x:c r="F213" s="23" t="n">
        <x:f>IF(E213="",0,LEN(E213)-LEN(SUBSTITUTE(E213,CHAR(10),""))+1)</x:f>
        <x:v>0</x:v>
      </x:c>
      <x:c r="G213" s="23" t="str"/>
      <x:c r="H213" s="23" t="n">
        <x:f>IF(G213="",0,LEN(G213&amp;"")-LEN(SUBSTITUTE(G213&amp;"",CHAR(10),""))+1)</x:f>
        <x:v>0</x:v>
      </x:c>
      <x:c r="I213" s="23" t="str"/>
      <x:c r="J213" s="23" t="str">
        <x:v>No developed-article link recorded</x:v>
      </x:c>
      <x:c r="K213" s="23" t="str">
        <x:v>Not inferred</x:v>
      </x:c>
      <x:c r="L213" s="34" t="str">
        <x:v>5658df82ab7f6554fa83a27fd2c621bd08ec342c87faceed88def14907a1155d</x:v>
      </x:c>
      <x:c r="M213" s="32" t="n">
        <x:v>14392</x:v>
      </x:c>
      <x:c r="N213" s="23" t="str">
        <x:v>https://v5ma.github.io/theology-wiki/san-reader.html?page=judas-gnostic-view-explained</x:v>
      </x:c>
    </x:row>
    <x:row r="214" ht="56" customHeight="1">
      <x:c r="A214" s="23" t="str">
        <x:v>Jungian dream analysis</x:v>
      </x:c>
      <x:c r="B214" s="23" t="str">
        <x:v>gpt2026dragon2834_Jungian_dream_analysis.txt</x:v>
      </x:c>
      <x:c r="C214" s="23" t="str">
        <x:v>2025-12-08</x:v>
      </x:c>
      <x:c r="D214" s="23" t="n">
        <x:v>9</x:v>
      </x:c>
      <x:c r="E214" s="23" t="str"/>
      <x:c r="F214" s="23" t="n">
        <x:f>IF(E214="",0,LEN(E214)-LEN(SUBSTITUTE(E214,CHAR(10),""))+1)</x:f>
        <x:v>0</x:v>
      </x:c>
      <x:c r="G214" s="23" t="str"/>
      <x:c r="H214" s="23" t="n">
        <x:f>IF(G214="",0,LEN(G214&amp;"")-LEN(SUBSTITUTE(G214&amp;"",CHAR(10),""))+1)</x:f>
        <x:v>0</x:v>
      </x:c>
      <x:c r="I214" s="23" t="str"/>
      <x:c r="J214" s="23" t="str">
        <x:v>No developed-article link recorded</x:v>
      </x:c>
      <x:c r="K214" s="23" t="str">
        <x:v>Not inferred</x:v>
      </x:c>
      <x:c r="L214" s="34" t="str">
        <x:v>f53f569e842356552882fd409689aa77ca206b3f8d7e78b1f3b1561665aef715</x:v>
      </x:c>
      <x:c r="M214" s="32" t="n">
        <x:v>42384</x:v>
      </x:c>
      <x:c r="N214" s="23" t="str">
        <x:v>https://v5ma.github.io/theology-wiki/san-reader.html?page=jungian-dream-analysis</x:v>
      </x:c>
    </x:row>
    <x:row r="215" ht="56" customHeight="1">
      <x:c r="A215" s="23" t="str">
        <x:v>Kabbalah origins question</x:v>
      </x:c>
      <x:c r="B215" s="23" t="str">
        <x:v>gpt2026dragon2669_Kabbalah_origins_question.txt</x:v>
      </x:c>
      <x:c r="C215" s="23" t="str">
        <x:v>2025-10-21</x:v>
      </x:c>
      <x:c r="D215" s="23" t="n">
        <x:v>3</x:v>
      </x:c>
      <x:c r="E215" s="23" t="str"/>
      <x:c r="F215" s="23" t="n">
        <x:f>IF(E215="",0,LEN(E215)-LEN(SUBSTITUTE(E215,CHAR(10),""))+1)</x:f>
        <x:v>0</x:v>
      </x:c>
      <x:c r="G215" s="23" t="str"/>
      <x:c r="H215" s="23" t="n">
        <x:f>IF(G215="",0,LEN(G215&amp;"")-LEN(SUBSTITUTE(G215&amp;"",CHAR(10),""))+1)</x:f>
        <x:v>0</x:v>
      </x:c>
      <x:c r="I215" s="23" t="str"/>
      <x:c r="J215" s="23" t="str">
        <x:v>No developed-article link recorded</x:v>
      </x:c>
      <x:c r="K215" s="23" t="str">
        <x:v>Not inferred</x:v>
      </x:c>
      <x:c r="L215" s="34" t="str">
        <x:v>c4f49952db5a1c9bccf4fafbc54a224f89685856c7cf11aba7fe375644320abb</x:v>
      </x:c>
      <x:c r="M215" s="32" t="n">
        <x:v>7983</x:v>
      </x:c>
      <x:c r="N215" s="23" t="str">
        <x:v>https://v5ma.github.io/theology-wiki/san-reader.html?page=kabbalah-origins-question</x:v>
      </x:c>
    </x:row>
    <x:row r="216" ht="56" customHeight="1">
      <x:c r="A216" s="23" t="str">
        <x:v>Kirk racism equivalence analysis</x:v>
      </x:c>
      <x:c r="B216" s="23" t="str">
        <x:v>gpt2026dragon2401_Kirk_racism_equivalence_analysis.txt</x:v>
      </x:c>
      <x:c r="C216" s="23" t="str">
        <x:v>2025-09-16</x:v>
      </x:c>
      <x:c r="D216" s="23" t="n">
        <x:v>3</x:v>
      </x:c>
      <x:c r="E216" s="23" t="str"/>
      <x:c r="F216" s="23" t="n">
        <x:f>IF(E216="",0,LEN(E216)-LEN(SUBSTITUTE(E216,CHAR(10),""))+1)</x:f>
        <x:v>0</x:v>
      </x:c>
      <x:c r="G216" s="23" t="str"/>
      <x:c r="H216" s="23" t="n">
        <x:f>IF(G216="",0,LEN(G216&amp;"")-LEN(SUBSTITUTE(G216&amp;"",CHAR(10),""))+1)</x:f>
        <x:v>0</x:v>
      </x:c>
      <x:c r="I216" s="23" t="str"/>
      <x:c r="J216" s="23" t="str">
        <x:v>No developed-article link recorded</x:v>
      </x:c>
      <x:c r="K216" s="23" t="str">
        <x:v>Not inferred</x:v>
      </x:c>
      <x:c r="L216" s="34" t="str">
        <x:v>e116404da5fae54361b4043c8c613644c652b58f8ac84d72b780d187c0965002</x:v>
      </x:c>
      <x:c r="M216" s="32" t="n">
        <x:v>32035</x:v>
      </x:c>
      <x:c r="N216" s="23" t="str">
        <x:v>https://v5ma.github.io/theology-wiki/san-reader.html?page=kirk-racism-equivalence-analysis</x:v>
      </x:c>
    </x:row>
    <x:row r="217" ht="56" customHeight="1">
      <x:c r="A217" s="23" t="str">
        <x:v>Kubrick Gita Verse Removal</x:v>
      </x:c>
      <x:c r="B217" s="23" t="str">
        <x:v>gpt2026dragon1114_Kubrick_Gita_Verse_Removal.txt</x:v>
      </x:c>
      <x:c r="C217" s="23" t="str">
        <x:v>2025-03-19</x:v>
      </x:c>
      <x:c r="D217" s="23" t="n">
        <x:v>38</x:v>
      </x:c>
      <x:c r="E217" s="23" t="str"/>
      <x:c r="F217" s="23" t="n">
        <x:f>IF(E217="",0,LEN(E217)-LEN(SUBSTITUTE(E217,CHAR(10),""))+1)</x:f>
        <x:v>0</x:v>
      </x:c>
      <x:c r="G217" s="23" t="str"/>
      <x:c r="H217" s="23" t="n">
        <x:f>IF(G217="",0,LEN(G217&amp;"")-LEN(SUBSTITUTE(G217&amp;"",CHAR(10),""))+1)</x:f>
        <x:v>0</x:v>
      </x:c>
      <x:c r="I217" s="23" t="str"/>
      <x:c r="J217" s="23" t="str">
        <x:v>No developed-article link recorded</x:v>
      </x:c>
      <x:c r="K217" s="23" t="str">
        <x:v>Not inferred</x:v>
      </x:c>
      <x:c r="L217" s="34" t="str">
        <x:v>2205437142fcc816a867412a0b85518a7605b77a4bf73b2019014dfc09d375cd</x:v>
      </x:c>
      <x:c r="M217" s="32" t="n">
        <x:v>78593</x:v>
      </x:c>
      <x:c r="N217" s="23" t="str">
        <x:v>https://v5ma.github.io/theology-wiki/san-reader.html?page=kubrick-gita-verse-removal</x:v>
      </x:c>
    </x:row>
    <x:row r="218" ht="56" customHeight="1">
      <x:c r="A218" s="23" t="str">
        <x:v>LA Museums Destroyed in Fire</x:v>
      </x:c>
      <x:c r="B218" s="23" t="str">
        <x:v>gpt2026dragon644_LA_Museums_Destroyed_in_Fire.txt</x:v>
      </x:c>
      <x:c r="C218" s="23" t="str">
        <x:v>2025-01-10</x:v>
      </x:c>
      <x:c r="D218" s="23" t="n">
        <x:v>4</x:v>
      </x:c>
      <x:c r="E218" s="23" t="str"/>
      <x:c r="F218" s="23" t="n">
        <x:f>IF(E218="",0,LEN(E218)-LEN(SUBSTITUTE(E218,CHAR(10),""))+1)</x:f>
        <x:v>0</x:v>
      </x:c>
      <x:c r="G218" s="23" t="str"/>
      <x:c r="H218" s="23" t="n">
        <x:f>IF(G218="",0,LEN(G218&amp;"")-LEN(SUBSTITUTE(G218&amp;"",CHAR(10),""))+1)</x:f>
        <x:v>0</x:v>
      </x:c>
      <x:c r="I218" s="23" t="str"/>
      <x:c r="J218" s="23" t="str">
        <x:v>No developed-article link recorded</x:v>
      </x:c>
      <x:c r="K218" s="23" t="str">
        <x:v>Not inferred</x:v>
      </x:c>
      <x:c r="L218" s="34" t="str">
        <x:v>dc8768ac6afe1ce8d78515b4f9418933229871c67f33ce715a9628f9d938aa1e</x:v>
      </x:c>
      <x:c r="M218" s="32" t="n">
        <x:v>5420</x:v>
      </x:c>
      <x:c r="N218" s="23" t="str">
        <x:v>https://v5ma.github.io/theology-wiki/san-reader.html?page=la-museums-destroyed-in-fire</x:v>
      </x:c>
    </x:row>
    <x:row r="219" ht="56" customHeight="1">
      <x:c r="A219" s="23" t="str">
        <x:v>Law of Attraction analysis</x:v>
      </x:c>
      <x:c r="B219" s="23" t="str">
        <x:v>gpt2026dragon2787_Law_of_Attraction_analysis.txt</x:v>
      </x:c>
      <x:c r="C219" s="23" t="str">
        <x:v>2025-11-21</x:v>
      </x:c>
      <x:c r="D219" s="23" t="n">
        <x:v>2</x:v>
      </x:c>
      <x:c r="E219" s="23" t="str"/>
      <x:c r="F219" s="23" t="n">
        <x:f>IF(E219="",0,LEN(E219)-LEN(SUBSTITUTE(E219,CHAR(10),""))+1)</x:f>
        <x:v>0</x:v>
      </x:c>
      <x:c r="G219" s="23" t="str"/>
      <x:c r="H219" s="23" t="n">
        <x:f>IF(G219="",0,LEN(G219&amp;"")-LEN(SUBSTITUTE(G219&amp;"",CHAR(10),""))+1)</x:f>
        <x:v>0</x:v>
      </x:c>
      <x:c r="I219" s="23" t="str"/>
      <x:c r="J219" s="23" t="str">
        <x:v>No developed-article link recorded</x:v>
      </x:c>
      <x:c r="K219" s="23" t="str">
        <x:v>Not inferred</x:v>
      </x:c>
      <x:c r="L219" s="34" t="str">
        <x:v>adcc72ed937814e1b4dbd5ff21e55e0104f3f5391fd22873e2abb88dac29afdc</x:v>
      </x:c>
      <x:c r="M219" s="32" t="n">
        <x:v>5339</x:v>
      </x:c>
      <x:c r="N219" s="23" t="str">
        <x:v>https://v5ma.github.io/theology-wiki/san-reader.html?page=law-of-attraction-analysis</x:v>
      </x:c>
    </x:row>
    <x:row r="220" ht="56" customHeight="1">
      <x:c r="A220" s="23" t="str">
        <x:v>Law of Attraction and Magic</x:v>
      </x:c>
      <x:c r="B220" s="23" t="str">
        <x:v>gpt2026dragon1475_Law_of_Attraction_and_Magic.txt</x:v>
      </x:c>
      <x:c r="C220" s="23" t="str">
        <x:v>2025-05-12</x:v>
      </x:c>
      <x:c r="D220" s="23" t="n">
        <x:v>32</x:v>
      </x:c>
      <x:c r="E220" s="23" t="str"/>
      <x:c r="F220" s="23" t="n">
        <x:f>IF(E220="",0,LEN(E220)-LEN(SUBSTITUTE(E220,CHAR(10),""))+1)</x:f>
        <x:v>0</x:v>
      </x:c>
      <x:c r="G220" s="23" t="str"/>
      <x:c r="H220" s="23" t="n">
        <x:f>IF(G220="",0,LEN(G220&amp;"")-LEN(SUBSTITUTE(G220&amp;"",CHAR(10),""))+1)</x:f>
        <x:v>0</x:v>
      </x:c>
      <x:c r="I220" s="23" t="str"/>
      <x:c r="J220" s="23" t="str">
        <x:v>No developed-article link recorded</x:v>
      </x:c>
      <x:c r="K220" s="23" t="str">
        <x:v>Not inferred</x:v>
      </x:c>
      <x:c r="L220" s="34" t="str">
        <x:v>e598036abe315887b13c9b78dc99837689c6e5ae6acf101f1c7fa2df28d8ac6d</x:v>
      </x:c>
      <x:c r="M220" s="32" t="n">
        <x:v>82374</x:v>
      </x:c>
      <x:c r="N220" s="23" t="str">
        <x:v>https://v5ma.github.io/theology-wiki/san-reader.html?page=law-of-attraction-and-magic</x:v>
      </x:c>
    </x:row>
    <x:row r="221" ht="56" customHeight="1">
      <x:c r="A221" s="23" t="str">
        <x:v>Law of Attraction Validation</x:v>
      </x:c>
      <x:c r="B221" s="23" t="str">
        <x:v>gpt2026dragon1001_Law_of_Attraction_Validation.txt</x:v>
      </x:c>
      <x:c r="C221" s="23" t="str">
        <x:v>2025-02-25</x:v>
      </x:c>
      <x:c r="D221" s="23" t="n">
        <x:v>1</x:v>
      </x:c>
      <x:c r="E221" s="23" t="str"/>
      <x:c r="F221" s="23" t="n">
        <x:f>IF(E221="",0,LEN(E221)-LEN(SUBSTITUTE(E221,CHAR(10),""))+1)</x:f>
        <x:v>0</x:v>
      </x:c>
      <x:c r="G221" s="23" t="str"/>
      <x:c r="H221" s="23" t="n">
        <x:f>IF(G221="",0,LEN(G221&amp;"")-LEN(SUBSTITUTE(G221&amp;"",CHAR(10),""))+1)</x:f>
        <x:v>0</x:v>
      </x:c>
      <x:c r="I221" s="23" t="str"/>
      <x:c r="J221" s="23" t="str">
        <x:v>No developed-article link recorded</x:v>
      </x:c>
      <x:c r="K221" s="23" t="str">
        <x:v>Not inferred</x:v>
      </x:c>
      <x:c r="L221" s="34" t="str">
        <x:v>9082b5f2654df96001d2cdfb3e60014d5d3f61bc5bd34280b305f4b6ad2e6319</x:v>
      </x:c>
      <x:c r="M221" s="32" t="n">
        <x:v>51380</x:v>
      </x:c>
      <x:c r="N221" s="23" t="str">
        <x:v>https://v5ma.github.io/theology-wiki/san-reader.html?page=law-of-attraction-validation</x:v>
      </x:c>
    </x:row>
    <x:row r="222" ht="56" customHeight="1">
      <x:c r="A222" s="23" t="str">
        <x:v>Leibniz branch Mesopotamia</x:v>
      </x:c>
      <x:c r="B222" s="23" t="str">
        <x:v>gpt2026dragon2337_Leibniz_branch_Mesopotamia.txt</x:v>
      </x:c>
      <x:c r="C222" s="23" t="str">
        <x:v>2025-09-09</x:v>
      </x:c>
      <x:c r="D222" s="23" t="n">
        <x:v>2</x:v>
      </x:c>
      <x:c r="E222" s="23" t="str"/>
      <x:c r="F222" s="23" t="n">
        <x:f>IF(E222="",0,LEN(E222)-LEN(SUBSTITUTE(E222,CHAR(10),""))+1)</x:f>
        <x:v>0</x:v>
      </x:c>
      <x:c r="G222" s="23" t="str"/>
      <x:c r="H222" s="23" t="n">
        <x:f>IF(G222="",0,LEN(G222&amp;"")-LEN(SUBSTITUTE(G222&amp;"",CHAR(10),""))+1)</x:f>
        <x:v>0</x:v>
      </x:c>
      <x:c r="I222" s="23" t="str"/>
      <x:c r="J222" s="23" t="str">
        <x:v>No developed-article link recorded</x:v>
      </x:c>
      <x:c r="K222" s="23" t="str">
        <x:v>Not inferred</x:v>
      </x:c>
      <x:c r="L222" s="34" t="str">
        <x:v>5e013c1a011fe6dd74ba894c2af3755902c4a46a660c602106f21583f35e610b</x:v>
      </x:c>
      <x:c r="M222" s="32" t="n">
        <x:v>16451</x:v>
      </x:c>
      <x:c r="N222" s="23" t="str">
        <x:v>https://v5ma.github.io/theology-wiki/san-reader.html?page=leibniz-branch-mesopotamia</x:v>
      </x:c>
    </x:row>
    <x:row r="223" ht="56" customHeight="1">
      <x:c r="A223" s="23" t="str">
        <x:v>Lucifer's fall explanation</x:v>
      </x:c>
      <x:c r="B223" s="23" t="str">
        <x:v>gpt2026dragon2722_Lucifer_s_fall_explanation.txt</x:v>
      </x:c>
      <x:c r="C223" s="23" t="str">
        <x:v>2025-11-03</x:v>
      </x:c>
      <x:c r="D223" s="23" t="n">
        <x:v>8</x:v>
      </x:c>
      <x:c r="E223" s="23" t="str"/>
      <x:c r="F223" s="23" t="n">
        <x:f>IF(E223="",0,LEN(E223)-LEN(SUBSTITUTE(E223,CHAR(10),""))+1)</x:f>
        <x:v>0</x:v>
      </x:c>
      <x:c r="G223" s="23" t="str"/>
      <x:c r="H223" s="23" t="n">
        <x:f>IF(G223="",0,LEN(G223&amp;"")-LEN(SUBSTITUTE(G223&amp;"",CHAR(10),""))+1)</x:f>
        <x:v>0</x:v>
      </x:c>
      <x:c r="I223" s="23" t="str"/>
      <x:c r="J223" s="23" t="str">
        <x:v>No developed-article link recorded</x:v>
      </x:c>
      <x:c r="K223" s="23" t="str">
        <x:v>Not inferred</x:v>
      </x:c>
      <x:c r="L223" s="34" t="str">
        <x:v>c5884cce7cb957ee39aac56c521e222a23baba6afcbc4131ba622a57c3324446</x:v>
      </x:c>
      <x:c r="M223" s="32" t="n">
        <x:v>10136</x:v>
      </x:c>
      <x:c r="N223" s="23" t="str">
        <x:v>https://v5ma.github.io/theology-wiki/san-reader.html?page=lucifer-s-fall-explanation</x:v>
      </x:c>
    </x:row>
    <x:row r="224" ht="56" customHeight="1">
      <x:c r="A224" s="23" t="str">
        <x:v>Maccabees Jeremiah and Dead Sea Scrolls</x:v>
      </x:c>
      <x:c r="B224" s="23" t="str">
        <x:v>gpt2026dragon1499_Maccabees_Jeremiah_and_Dead_Sea_Scrolls.txt</x:v>
      </x:c>
      <x:c r="C224" s="23" t="str">
        <x:v>2025-05-14</x:v>
      </x:c>
      <x:c r="D224" s="23" t="n">
        <x:v>28</x:v>
      </x:c>
      <x:c r="E224" s="23" t="str"/>
      <x:c r="F224" s="23" t="n">
        <x:f>IF(E224="",0,LEN(E224)-LEN(SUBSTITUTE(E224,CHAR(10),""))+1)</x:f>
        <x:v>0</x:v>
      </x:c>
      <x:c r="G224" s="23" t="str"/>
      <x:c r="H224" s="23" t="n">
        <x:f>IF(G224="",0,LEN(G224&amp;"")-LEN(SUBSTITUTE(G224&amp;"",CHAR(10),""))+1)</x:f>
        <x:v>0</x:v>
      </x:c>
      <x:c r="I224" s="23" t="str"/>
      <x:c r="J224" s="23" t="str">
        <x:v>No developed-article link recorded</x:v>
      </x:c>
      <x:c r="K224" s="23" t="str">
        <x:v>Not inferred</x:v>
      </x:c>
      <x:c r="L224" s="34" t="str">
        <x:v>665ff1a621cd075f0a3a0002611b380325823ae170cb4a67ba95ba9d8f097eb6</x:v>
      </x:c>
      <x:c r="M224" s="32" t="n">
        <x:v>26638</x:v>
      </x:c>
      <x:c r="N224" s="23" t="str">
        <x:v>https://v5ma.github.io/theology-wiki/san-reader.html?page=maccabees-jeremiah-and-dead-sea-scrolls</x:v>
      </x:c>
    </x:row>
    <x:row r="225" ht="56" customHeight="1">
      <x:c r="A225" s="23" t="str">
        <x:v>Mark 16 Textual Dispute</x:v>
      </x:c>
      <x:c r="B225" s="23" t="str">
        <x:v>gpt2026dragon604_Mark_16_Textual_Dispute.txt</x:v>
      </x:c>
      <x:c r="C225" s="23" t="str">
        <x:v>2024-12-31</x:v>
      </x:c>
      <x:c r="D225" s="23" t="n">
        <x:v>1</x:v>
      </x:c>
      <x:c r="E225" s="23" t="str"/>
      <x:c r="F225" s="23" t="n">
        <x:f>IF(E225="",0,LEN(E225)-LEN(SUBSTITUTE(E225,CHAR(10),""))+1)</x:f>
        <x:v>0</x:v>
      </x:c>
      <x:c r="G225" s="23" t="str"/>
      <x:c r="H225" s="23" t="n">
        <x:f>IF(G225="",0,LEN(G225&amp;"")-LEN(SUBSTITUTE(G225&amp;"",CHAR(10),""))+1)</x:f>
        <x:v>0</x:v>
      </x:c>
      <x:c r="I225" s="23" t="str"/>
      <x:c r="J225" s="23" t="str">
        <x:v>No developed-article link recorded</x:v>
      </x:c>
      <x:c r="K225" s="23" t="str">
        <x:v>Not inferred</x:v>
      </x:c>
      <x:c r="L225" s="34" t="str">
        <x:v>c9f37fa39fba302476c20096b81eb22f599e4dcc7aff0b517ae628fa6e8b6511</x:v>
      </x:c>
      <x:c r="M225" s="32" t="n">
        <x:v>806</x:v>
      </x:c>
      <x:c r="N225" s="23" t="str">
        <x:v>https://v5ma.github.io/theology-wiki/san-reader.html?page=mark-16-textual-dispute</x:v>
      </x:c>
    </x:row>
    <x:row r="226" ht="56" customHeight="1">
      <x:c r="A226" s="23" t="str">
        <x:v>Mark of the Beast X</x:v>
      </x:c>
      <x:c r="B226" s="23" t="str">
        <x:v>gpt2026dragon1131_Mark_of_the_Beast_X.txt</x:v>
      </x:c>
      <x:c r="C226" s="23" t="str">
        <x:v>2025-03-23</x:v>
      </x:c>
      <x:c r="D226" s="23" t="n">
        <x:v>12</x:v>
      </x:c>
      <x:c r="E226" s="23" t="str"/>
      <x:c r="F226" s="23" t="n">
        <x:f>IF(E226="",0,LEN(E226)-LEN(SUBSTITUTE(E226,CHAR(10),""))+1)</x:f>
        <x:v>0</x:v>
      </x:c>
      <x:c r="G226" s="23" t="str"/>
      <x:c r="H226" s="23" t="n">
        <x:f>IF(G226="",0,LEN(G226&amp;"")-LEN(SUBSTITUTE(G226&amp;"",CHAR(10),""))+1)</x:f>
        <x:v>0</x:v>
      </x:c>
      <x:c r="I226" s="23" t="str"/>
      <x:c r="J226" s="23" t="str">
        <x:v>No developed-article link recorded</x:v>
      </x:c>
      <x:c r="K226" s="23" t="str">
        <x:v>Not inferred</x:v>
      </x:c>
      <x:c r="L226" s="34" t="str">
        <x:v>f0efc0f06e8caaf973389a66ca62ff90f07d3a8cf98a53f6f989dd57f753bd2f</x:v>
      </x:c>
      <x:c r="M226" s="32" t="n">
        <x:v>10442</x:v>
      </x:c>
      <x:c r="N226" s="23" t="str">
        <x:v>https://v5ma.github.io/theology-wiki/san-reader.html?page=mark-of-the-beast-x</x:v>
      </x:c>
    </x:row>
    <x:row r="227" ht="56" customHeight="1">
      <x:c r="A227" s="23" t="str">
        <x:v>Marvel Crisis Equivalent</x:v>
      </x:c>
      <x:c r="B227" s="23" t="str">
        <x:v>gpt2026dragon115_Marvel_Crisis_Equivalent.txt</x:v>
      </x:c>
      <x:c r="C227" s="23" t="str">
        <x:v>2024-07-29</x:v>
      </x:c>
      <x:c r="D227" s="23" t="n">
        <x:v>3</x:v>
      </x:c>
      <x:c r="E227" s="23" t="str"/>
      <x:c r="F227" s="23" t="n">
        <x:f>IF(E227="",0,LEN(E227)-LEN(SUBSTITUTE(E227,CHAR(10),""))+1)</x:f>
        <x:v>0</x:v>
      </x:c>
      <x:c r="G227" s="23" t="str"/>
      <x:c r="H227" s="23" t="n">
        <x:f>IF(G227="",0,LEN(G227&amp;"")-LEN(SUBSTITUTE(G227&amp;"",CHAR(10),""))+1)</x:f>
        <x:v>0</x:v>
      </x:c>
      <x:c r="I227" s="23" t="str"/>
      <x:c r="J227" s="23" t="str">
        <x:v>No developed-article link recorded</x:v>
      </x:c>
      <x:c r="K227" s="23" t="str">
        <x:v>Not inferred</x:v>
      </x:c>
      <x:c r="L227" s="34" t="str">
        <x:v>8e5f7dbe9a23d9ccbb6231f6484c005ab9a62b381e70a2d5344a90f195ab607c</x:v>
      </x:c>
      <x:c r="M227" s="32" t="n">
        <x:v>4623</x:v>
      </x:c>
      <x:c r="N227" s="23" t="str">
        <x:v>https://v5ma.github.io/theology-wiki/san-reader.html?page=marvel-crisis-equivalent</x:v>
      </x:c>
    </x:row>
    <x:row r="228" ht="56" customHeight="1">
      <x:c r="A228" s="23" t="str">
        <x:v>MEAI as anti-psychotic</x:v>
      </x:c>
      <x:c r="B228" s="23" t="str">
        <x:v>gpt2026dragon2778_MEAI_as_anti-psychotic.txt</x:v>
      </x:c>
      <x:c r="C228" s="23" t="str">
        <x:v>2025-11-16</x:v>
      </x:c>
      <x:c r="D228" s="23" t="n">
        <x:v>37</x:v>
      </x:c>
      <x:c r="E228" s="23" t="str"/>
      <x:c r="F228" s="23" t="n">
        <x:f>IF(E228="",0,LEN(E228)-LEN(SUBSTITUTE(E228,CHAR(10),""))+1)</x:f>
        <x:v>0</x:v>
      </x:c>
      <x:c r="G228" s="23" t="str"/>
      <x:c r="H228" s="23" t="n">
        <x:f>IF(G228="",0,LEN(G228&amp;"")-LEN(SUBSTITUTE(G228&amp;"",CHAR(10),""))+1)</x:f>
        <x:v>0</x:v>
      </x:c>
      <x:c r="I228" s="23" t="str"/>
      <x:c r="J228" s="23" t="str">
        <x:v>No developed-article link recorded</x:v>
      </x:c>
      <x:c r="K228" s="23" t="str">
        <x:v>Not inferred</x:v>
      </x:c>
      <x:c r="L228" s="34" t="str">
        <x:v>0859eb872495e1280f035e0897f35555e36d36e2a2969af6f46172657dc988e8</x:v>
      </x:c>
      <x:c r="M228" s="32" t="n">
        <x:v>220814</x:v>
      </x:c>
      <x:c r="N228" s="23" t="str">
        <x:v>https://v5ma.github.io/theology-wiki/san-reader.html?page=meai-as-anti-psychotic</x:v>
      </x:c>
    </x:row>
    <x:row r="229" ht="56" customHeight="1">
      <x:c r="A229" s="23" t="str">
        <x:v>Meme Creation: Prophecy and Peace</x:v>
      </x:c>
      <x:c r="B229" s="23" t="str">
        <x:v>gpt2026dragon3096_Meme_Creation_Prophecy_and_Peace.txt</x:v>
      </x:c>
      <x:c r="C229" s="23" t="str">
        <x:v>2026-02-21</x:v>
      </x:c>
      <x:c r="D229" s="23" t="n">
        <x:v>7</x:v>
      </x:c>
      <x:c r="E229" s="23" t="str"/>
      <x:c r="F229" s="23" t="n">
        <x:f>IF(E229="",0,LEN(E229)-LEN(SUBSTITUTE(E229,CHAR(10),""))+1)</x:f>
        <x:v>0</x:v>
      </x:c>
      <x:c r="G229" s="23" t="str"/>
      <x:c r="H229" s="23" t="n">
        <x:f>IF(G229="",0,LEN(G229&amp;"")-LEN(SUBSTITUTE(G229&amp;"",CHAR(10),""))+1)</x:f>
        <x:v>0</x:v>
      </x:c>
      <x:c r="I229" s="23" t="str"/>
      <x:c r="J229" s="23" t="str">
        <x:v>No developed-article link recorded</x:v>
      </x:c>
      <x:c r="K229" s="23" t="str">
        <x:v>Not inferred</x:v>
      </x:c>
      <x:c r="L229" s="34" t="str">
        <x:v>01ef5653889c417d938c1d926edcb40a0f4b104874dab06a1fc6a8ce4080ad7f</x:v>
      </x:c>
      <x:c r="M229" s="32" t="n">
        <x:v>4857</x:v>
      </x:c>
      <x:c r="N229" s="23" t="str">
        <x:v>https://v5ma.github.io/theology-wiki/san-reader.html?page=meme-creation-prophecy-and-peace</x:v>
      </x:c>
    </x:row>
    <x:row r="230" ht="56" customHeight="1">
      <x:c r="A230" s="23" t="str">
        <x:v>Messiah role in Qumran</x:v>
      </x:c>
      <x:c r="B230" s="23" t="str">
        <x:v>gpt2026dragon2687_Messiah_role_in_Qumran.txt</x:v>
      </x:c>
      <x:c r="C230" s="23" t="str">
        <x:v>2025-10-26</x:v>
      </x:c>
      <x:c r="D230" s="23" t="n">
        <x:v>11</x:v>
      </x:c>
      <x:c r="E230" s="23" t="str"/>
      <x:c r="F230" s="23" t="n">
        <x:f>IF(E230="",0,LEN(E230)-LEN(SUBSTITUTE(E230,CHAR(10),""))+1)</x:f>
        <x:v>0</x:v>
      </x:c>
      <x:c r="G230" s="23" t="str"/>
      <x:c r="H230" s="23" t="n">
        <x:f>IF(G230="",0,LEN(G230&amp;"")-LEN(SUBSTITUTE(G230&amp;"",CHAR(10),""))+1)</x:f>
        <x:v>0</x:v>
      </x:c>
      <x:c r="I230" s="23" t="str"/>
      <x:c r="J230" s="23" t="str">
        <x:v>No developed-article link recorded</x:v>
      </x:c>
      <x:c r="K230" s="23" t="str">
        <x:v>Not inferred</x:v>
      </x:c>
      <x:c r="L230" s="34" t="str">
        <x:v>46eca47c137964f04e31de73bdadbf74a2e280ee1f75609ec4de357f08aec776</x:v>
      </x:c>
      <x:c r="M230" s="32" t="n">
        <x:v>29272</x:v>
      </x:c>
      <x:c r="N230" s="23" t="str">
        <x:v>https://v5ma.github.io/theology-wiki/san-reader.html?page=messiah-role-in-qumran</x:v>
      </x:c>
    </x:row>
    <x:row r="231" ht="56" customHeight="1">
      <x:c r="A231" s="23" t="str">
        <x:v>Mind of God equation</x:v>
      </x:c>
      <x:c r="B231" s="23" t="str">
        <x:v>gpt2026dragon2383_Mind_of_God_equation.txt</x:v>
      </x:c>
      <x:c r="C231" s="23" t="str">
        <x:v>2025-09-13</x:v>
      </x:c>
      <x:c r="D231" s="23" t="n">
        <x:v>3</x:v>
      </x:c>
      <x:c r="E231" s="23" t="str"/>
      <x:c r="F231" s="23" t="n">
        <x:f>IF(E231="",0,LEN(E231)-LEN(SUBSTITUTE(E231,CHAR(10),""))+1)</x:f>
        <x:v>0</x:v>
      </x:c>
      <x:c r="G231" s="23" t="str"/>
      <x:c r="H231" s="23" t="n">
        <x:f>IF(G231="",0,LEN(G231&amp;"")-LEN(SUBSTITUTE(G231&amp;"",CHAR(10),""))+1)</x:f>
        <x:v>0</x:v>
      </x:c>
      <x:c r="I231" s="23" t="str"/>
      <x:c r="J231" s="23" t="str">
        <x:v>No developed-article link recorded</x:v>
      </x:c>
      <x:c r="K231" s="23" t="str">
        <x:v>Not inferred</x:v>
      </x:c>
      <x:c r="L231" s="34" t="str">
        <x:v>4cf69d7d4c647cdb93c98c9bcb1349b6fa1e8e8d8e3c6315dfcba831100db7b0</x:v>
      </x:c>
      <x:c r="M231" s="32" t="n">
        <x:v>14403</x:v>
      </x:c>
      <x:c r="N231" s="23" t="str">
        <x:v>https://v5ma.github.io/theology-wiki/san-reader.html?page=mind-of-god-equation</x:v>
      </x:c>
    </x:row>
    <x:row r="232" ht="56" customHeight="1">
      <x:c r="A232" s="23" t="str">
        <x:v>Mind of God equation</x:v>
      </x:c>
      <x:c r="B232" s="23" t="str">
        <x:v>gpt2026dragon2382_Mind_of_God_equation.txt</x:v>
      </x:c>
      <x:c r="C232" s="23" t="str">
        <x:v>2025-09-13</x:v>
      </x:c>
      <x:c r="D232" s="23" t="n">
        <x:v>2</x:v>
      </x:c>
      <x:c r="E232" s="23" t="str"/>
      <x:c r="F232" s="23" t="n">
        <x:f>IF(E232="",0,LEN(E232)-LEN(SUBSTITUTE(E232,CHAR(10),""))+1)</x:f>
        <x:v>0</x:v>
      </x:c>
      <x:c r="G232" s="23" t="str"/>
      <x:c r="H232" s="23" t="n">
        <x:f>IF(G232="",0,LEN(G232&amp;"")-LEN(SUBSTITUTE(G232&amp;"",CHAR(10),""))+1)</x:f>
        <x:v>0</x:v>
      </x:c>
      <x:c r="I232" s="23" t="str"/>
      <x:c r="J232" s="23" t="str">
        <x:v>No developed-article link recorded</x:v>
      </x:c>
      <x:c r="K232" s="23" t="str">
        <x:v>Not inferred</x:v>
      </x:c>
      <x:c r="L232" s="34" t="str">
        <x:v>22abf5462867f3da3142bc69992b07df97eb41b14d03b778a63449225d604021</x:v>
      </x:c>
      <x:c r="M232" s="32" t="n">
        <x:v>4424</x:v>
      </x:c>
      <x:c r="N232" s="23" t="str">
        <x:v>https://v5ma.github.io/theology-wiki/san-reader.html?page=mind-of-god-equation-2</x:v>
      </x:c>
    </x:row>
    <x:row r="233" ht="56" customHeight="1">
      <x:c r="A233" s="23" t="str">
        <x:v>Modern Gnostic Critique of Catholicism</x:v>
      </x:c>
      <x:c r="B233" s="23" t="str">
        <x:v>gpt2026dragon959_Modern_Gnostic_Critique_of_Catholicism.txt</x:v>
      </x:c>
      <x:c r="C233" s="23" t="str">
        <x:v>2025-02-18</x:v>
      </x:c>
      <x:c r="D233" s="23" t="n">
        <x:v>2</x:v>
      </x:c>
      <x:c r="E233" s="23" t="str"/>
      <x:c r="F233" s="23" t="n">
        <x:f>IF(E233="",0,LEN(E233)-LEN(SUBSTITUTE(E233,CHAR(10),""))+1)</x:f>
        <x:v>0</x:v>
      </x:c>
      <x:c r="G233" s="23" t="str"/>
      <x:c r="H233" s="23" t="n">
        <x:f>IF(G233="",0,LEN(G233&amp;"")-LEN(SUBSTITUTE(G233&amp;"",CHAR(10),""))+1)</x:f>
        <x:v>0</x:v>
      </x:c>
      <x:c r="I233" s="23" t="str"/>
      <x:c r="J233" s="23" t="str">
        <x:v>No developed-article link recorded</x:v>
      </x:c>
      <x:c r="K233" s="23" t="str">
        <x:v>Not inferred</x:v>
      </x:c>
      <x:c r="L233" s="34" t="str">
        <x:v>3d2c258eda491640b3363cd15425fdc92c549096f8885998213c787b086f94f3</x:v>
      </x:c>
      <x:c r="M233" s="32" t="n">
        <x:v>4872</x:v>
      </x:c>
      <x:c r="N233" s="23" t="str">
        <x:v>https://v5ma.github.io/theology-wiki/san-reader.html?page=modern-gnostic-critique-of-catholicism</x:v>
      </x:c>
    </x:row>
    <x:row r="234" ht="56" customHeight="1">
      <x:c r="A234" s="23" t="str">
        <x:v>Modern Nazarenes Overview</x:v>
      </x:c>
      <x:c r="B234" s="23" t="str">
        <x:v>gpt2026dragon1460_Modern_Nazarenes_Overview.txt</x:v>
      </x:c>
      <x:c r="C234" s="23" t="str">
        <x:v>2025-05-10</x:v>
      </x:c>
      <x:c r="D234" s="23" t="n">
        <x:v>2</x:v>
      </x:c>
      <x:c r="E234" s="23" t="str"/>
      <x:c r="F234" s="23" t="n">
        <x:f>IF(E234="",0,LEN(E234)-LEN(SUBSTITUTE(E234,CHAR(10),""))+1)</x:f>
        <x:v>0</x:v>
      </x:c>
      <x:c r="G234" s="23" t="str"/>
      <x:c r="H234" s="23" t="n">
        <x:f>IF(G234="",0,LEN(G234&amp;"")-LEN(SUBSTITUTE(G234&amp;"",CHAR(10),""))+1)</x:f>
        <x:v>0</x:v>
      </x:c>
      <x:c r="I234" s="23" t="str"/>
      <x:c r="J234" s="23" t="str">
        <x:v>No developed-article link recorded</x:v>
      </x:c>
      <x:c r="K234" s="23" t="str">
        <x:v>Not inferred</x:v>
      </x:c>
      <x:c r="L234" s="34" t="str">
        <x:v>c21159f8fa66b78f9b85454b7313670f7db784407476307684630b6e3dedb19c</x:v>
      </x:c>
      <x:c r="M234" s="32" t="n">
        <x:v>1654</x:v>
      </x:c>
      <x:c r="N234" s="23" t="str">
        <x:v>https://v5ma.github.io/theology-wiki/san-reader.html?page=modern-nazarenes-overview</x:v>
      </x:c>
    </x:row>
    <x:row r="235" ht="56" customHeight="1">
      <x:c r="A235" s="23" t="str">
        <x:v>Moses Abraham and God</x:v>
      </x:c>
      <x:c r="B235" s="23" t="str">
        <x:v>gpt2026dragon560_Moses_Abraham_and_God.txt</x:v>
      </x:c>
      <x:c r="C235" s="23" t="str">
        <x:v>2024-12-20</x:v>
      </x:c>
      <x:c r="D235" s="23" t="n">
        <x:v>1</x:v>
      </x:c>
      <x:c r="E235" s="23" t="str"/>
      <x:c r="F235" s="23" t="n">
        <x:f>IF(E235="",0,LEN(E235)-LEN(SUBSTITUTE(E235,CHAR(10),""))+1)</x:f>
        <x:v>0</x:v>
      </x:c>
      <x:c r="G235" s="23" t="str"/>
      <x:c r="H235" s="23" t="n">
        <x:f>IF(G235="",0,LEN(G235&amp;"")-LEN(SUBSTITUTE(G235&amp;"",CHAR(10),""))+1)</x:f>
        <x:v>0</x:v>
      </x:c>
      <x:c r="I235" s="23" t="str"/>
      <x:c r="J235" s="23" t="str">
        <x:v>No developed-article link recorded</x:v>
      </x:c>
      <x:c r="K235" s="23" t="str">
        <x:v>Not inferred</x:v>
      </x:c>
      <x:c r="L235" s="34" t="str">
        <x:v>9fe8b7bd3164113120857311445a57780471a8ee3149c3ab2f9fd3bc14ebba22</x:v>
      </x:c>
      <x:c r="M235" s="32" t="n">
        <x:v>2712</x:v>
      </x:c>
      <x:c r="N235" s="23" t="str">
        <x:v>https://v5ma.github.io/theology-wiki/san-reader.html?page=moses-abraham-and-god</x:v>
      </x:c>
    </x:row>
    <x:row r="236" ht="56" customHeight="1">
      <x:c r="A236" s="23" t="str">
        <x:v>Moses and the Burning Bush</x:v>
      </x:c>
      <x:c r="B236" s="23" t="str">
        <x:v>gpt2026dragon514_Moses_and_the_Burning_Bush.txt</x:v>
      </x:c>
      <x:c r="C236" s="23" t="str">
        <x:v>2024-12-10</x:v>
      </x:c>
      <x:c r="D236" s="23" t="n">
        <x:v>3</x:v>
      </x:c>
      <x:c r="E236" s="23" t="str"/>
      <x:c r="F236" s="23" t="n">
        <x:f>IF(E236="",0,LEN(E236)-LEN(SUBSTITUTE(E236,CHAR(10),""))+1)</x:f>
        <x:v>0</x:v>
      </x:c>
      <x:c r="G236" s="23" t="str"/>
      <x:c r="H236" s="23" t="n">
        <x:f>IF(G236="",0,LEN(G236&amp;"")-LEN(SUBSTITUTE(G236&amp;"",CHAR(10),""))+1)</x:f>
        <x:v>0</x:v>
      </x:c>
      <x:c r="I236" s="23" t="str"/>
      <x:c r="J236" s="23" t="str">
        <x:v>No developed-article link recorded</x:v>
      </x:c>
      <x:c r="K236" s="23" t="str">
        <x:v>Not inferred</x:v>
      </x:c>
      <x:c r="L236" s="34" t="str">
        <x:v>a34bc6e6039c1fbd1ee56f059ea7cae126452d3c1dd0f3e7d87bd77433bf693e</x:v>
      </x:c>
      <x:c r="M236" s="32" t="n">
        <x:v>4325</x:v>
      </x:c>
      <x:c r="N236" s="23" t="str">
        <x:v>https://v5ma.github.io/theology-wiki/san-reader.html?page=moses-and-the-burning-bush</x:v>
      </x:c>
    </x:row>
    <x:row r="237" ht="56" customHeight="1">
      <x:c r="A237" s="23" t="str">
        <x:v>Moses dating debate</x:v>
      </x:c>
      <x:c r="B237" s="23" t="str">
        <x:v>gpt2026dragon2136_Moses_dating_debate.txt</x:v>
      </x:c>
      <x:c r="C237" s="23" t="str">
        <x:v>2025-08-17</x:v>
      </x:c>
      <x:c r="D237" s="23" t="n">
        <x:v>30</x:v>
      </x:c>
      <x:c r="E237" s="23" t="str">
        <x:v>moses-volcano-and-exodus-chronology</x:v>
      </x:c>
      <x:c r="F237" s="23" t="n">
        <x:f>IF(E237="",0,LEN(E237)-LEN(SUBSTITUTE(E237,CHAR(10),""))+1)</x:f>
        <x:v>1</x:v>
      </x:c>
      <x:c r="G237" s="23" t="str"/>
      <x:c r="H237" s="23" t="n">
        <x:f>IF(G237="",0,LEN(G237&amp;"")-LEN(SUBSTITUTE(G237&amp;"",CHAR(10),""))+1)</x:f>
        <x:v>0</x:v>
      </x:c>
      <x:c r="I237" s="23" t="str">
        <x:v>catastrophe-memory</x:v>
      </x:c>
      <x:c r="J237" s="23" t="str">
        <x:v>Linked to developed article</x:v>
      </x:c>
      <x:c r="K237" s="23" t="str">
        <x:v>Not inferred</x:v>
      </x:c>
      <x:c r="L237" s="34" t="str">
        <x:v>fba3543ecc5587b753a2224cbf4f4e71ab0c8893f4bf1e0fa135664e89e30f96</x:v>
      </x:c>
      <x:c r="M237" s="32" t="n">
        <x:v>35979</x:v>
      </x:c>
      <x:c r="N237" s="23" t="str">
        <x:v>https://v5ma.github.io/theology-wiki/san-reader.html?page=moses-dating-debate</x:v>
      </x:c>
    </x:row>
    <x:row r="238" ht="56" customHeight="1">
      <x:c r="A238" s="23" t="str">
        <x:v>Muslim View of Jesus</x:v>
      </x:c>
      <x:c r="B238" s="23" t="str">
        <x:v>gpt2026dragon941_Muslim_View_of_Jesus.txt</x:v>
      </x:c>
      <x:c r="C238" s="23" t="str">
        <x:v>2025-02-14</x:v>
      </x:c>
      <x:c r="D238" s="23" t="n">
        <x:v>7</x:v>
      </x:c>
      <x:c r="E238" s="23" t="str"/>
      <x:c r="F238" s="23" t="n">
        <x:f>IF(E238="",0,LEN(E238)-LEN(SUBSTITUTE(E238,CHAR(10),""))+1)</x:f>
        <x:v>0</x:v>
      </x:c>
      <x:c r="G238" s="23" t="str"/>
      <x:c r="H238" s="23" t="n">
        <x:f>IF(G238="",0,LEN(G238&amp;"")-LEN(SUBSTITUTE(G238&amp;"",CHAR(10),""))+1)</x:f>
        <x:v>0</x:v>
      </x:c>
      <x:c r="I238" s="23" t="str"/>
      <x:c r="J238" s="23" t="str">
        <x:v>No developed-article link recorded</x:v>
      </x:c>
      <x:c r="K238" s="23" t="str">
        <x:v>Not inferred</x:v>
      </x:c>
      <x:c r="L238" s="34" t="str">
        <x:v>fba11efaea4a2045ebbf0243e594f045403ca772fcf9c9cf63180daa2d9ba3e8</x:v>
      </x:c>
      <x:c r="M238" s="32" t="n">
        <x:v>7705</x:v>
      </x:c>
      <x:c r="N238" s="23" t="str">
        <x:v>https://v5ma.github.io/theology-wiki/san-reader.html?page=muslim-view-of-jesus</x:v>
      </x:c>
    </x:row>
    <x:row r="239" ht="56" customHeight="1">
      <x:c r="A239" s="23" t="str">
        <x:v>My Descent Into Death Summary</x:v>
      </x:c>
      <x:c r="B239" s="23" t="str">
        <x:v>gpt2026dragon526_My_Descent_Into_Death_Summary.txt</x:v>
      </x:c>
      <x:c r="C239" s="23" t="str">
        <x:v>2024-12-12</x:v>
      </x:c>
      <x:c r="D239" s="23" t="n">
        <x:v>2</x:v>
      </x:c>
      <x:c r="E239" s="23" t="str"/>
      <x:c r="F239" s="23" t="n">
        <x:f>IF(E239="",0,LEN(E239)-LEN(SUBSTITUTE(E239,CHAR(10),""))+1)</x:f>
        <x:v>0</x:v>
      </x:c>
      <x:c r="G239" s="23" t="str"/>
      <x:c r="H239" s="23" t="n">
        <x:f>IF(G239="",0,LEN(G239&amp;"")-LEN(SUBSTITUTE(G239&amp;"",CHAR(10),""))+1)</x:f>
        <x:v>0</x:v>
      </x:c>
      <x:c r="I239" s="23" t="str"/>
      <x:c r="J239" s="23" t="str">
        <x:v>No developed-article link recorded</x:v>
      </x:c>
      <x:c r="K239" s="23" t="str">
        <x:v>Not inferred</x:v>
      </x:c>
      <x:c r="L239" s="34" t="str">
        <x:v>2b601a1eb2c25e5478246e3599f2bc85304000dffa04bf21debce41e7a10954f</x:v>
      </x:c>
      <x:c r="M239" s="32" t="n">
        <x:v>2769</x:v>
      </x:c>
      <x:c r="N239" s="23" t="str">
        <x:v>https://v5ma.github.io/theology-wiki/san-reader.html?page=my-descent-into-death-summary</x:v>
      </x:c>
    </x:row>
    <x:row r="240" ht="56" customHeight="1">
      <x:c r="A240" s="23" t="str">
        <x:v>Naming God as Purpose</x:v>
      </x:c>
      <x:c r="B240" s="23" t="str">
        <x:v>gpt2026dragon1305_Naming_God_as_Purpose.txt</x:v>
      </x:c>
      <x:c r="C240" s="23" t="str">
        <x:v>2025-04-16</x:v>
      </x:c>
      <x:c r="D240" s="23" t="n">
        <x:v>4</x:v>
      </x:c>
      <x:c r="E240" s="23" t="str">
        <x:v>god-and-our-models-of-god</x:v>
      </x:c>
      <x:c r="F240" s="23" t="n">
        <x:f>IF(E240="",0,LEN(E240)-LEN(SUBSTITUTE(E240,CHAR(10),""))+1)</x:f>
        <x:v>1</x:v>
      </x:c>
      <x:c r="G240" s="23" t="str">
        <x:v>Turn 1
Turn 3</x:v>
      </x:c>
      <x:c r="H240" s="23" t="n">
        <x:f>IF(G240="",0,LEN(G240&amp;"")-LEN(SUBSTITUTE(G240&amp;"",CHAR(10),""))+1)</x:f>
        <x:v>2</x:v>
      </x:c>
      <x:c r="I240" s="23" t="str">
        <x:v>images
next-inheritors</x:v>
      </x:c>
      <x:c r="J240" s="23" t="str">
        <x:v>Linked to developed article</x:v>
      </x:c>
      <x:c r="K240" s="23" t="str">
        <x:v>Not inferred</x:v>
      </x:c>
      <x:c r="L240" s="34" t="str">
        <x:v>efc4cb81df020abd61b4d974380a0c558beeb5a7915905e2eeeae21859589c37</x:v>
      </x:c>
      <x:c r="M240" s="32" t="n">
        <x:v>6710</x:v>
      </x:c>
      <x:c r="N240" s="23" t="str">
        <x:v>https://v5ma.github.io/theology-wiki/san-reader.html?page=naming-god-as-purpose</x:v>
      </x:c>
    </x:row>
    <x:row r="241" ht="56" customHeight="1">
      <x:c r="A241" s="23" t="str">
        <x:v>Nearest Wilderness to SF</x:v>
      </x:c>
      <x:c r="B241" s="23" t="str">
        <x:v>gpt2026dragon3059_Nearest_Wilderness_to_SF.txt</x:v>
      </x:c>
      <x:c r="C241" s="23" t="str">
        <x:v>2026-02-01</x:v>
      </x:c>
      <x:c r="D241" s="23" t="n">
        <x:v>13</x:v>
      </x:c>
      <x:c r="E241" s="23" t="str"/>
      <x:c r="F241" s="23" t="n">
        <x:f>IF(E241="",0,LEN(E241)-LEN(SUBSTITUTE(E241,CHAR(10),""))+1)</x:f>
        <x:v>0</x:v>
      </x:c>
      <x:c r="G241" s="23" t="str"/>
      <x:c r="H241" s="23" t="n">
        <x:f>IF(G241="",0,LEN(G241&amp;"")-LEN(SUBSTITUTE(G241&amp;"",CHAR(10),""))+1)</x:f>
        <x:v>0</x:v>
      </x:c>
      <x:c r="I241" s="23" t="str"/>
      <x:c r="J241" s="23" t="str">
        <x:v>No developed-article link recorded</x:v>
      </x:c>
      <x:c r="K241" s="23" t="str">
        <x:v>Not inferred</x:v>
      </x:c>
      <x:c r="L241" s="34" t="str">
        <x:v>f760df5f68fffbbc059674d8b36654efc77c4a42d7a23743908540e32c9f8cce</x:v>
      </x:c>
      <x:c r="M241" s="32" t="n">
        <x:v>35863</x:v>
      </x:c>
      <x:c r="N241" s="23" t="str">
        <x:v>https://v5ma.github.io/theology-wiki/san-reader.html?page=nearest-wilderness-to-sf</x:v>
      </x:c>
    </x:row>
    <x:row r="242" ht="56" customHeight="1">
      <x:c r="A242" s="23" t="str">
        <x:v>Neo Mind Cycle Evolution</x:v>
      </x:c>
      <x:c r="B242" s="23" t="str">
        <x:v>gpt2026dragon952_Neo_Mind_Cycle_Evolution.txt</x:v>
      </x:c>
      <x:c r="C242" s="23" t="str">
        <x:v>2025-02-16</x:v>
      </x:c>
      <x:c r="D242" s="23" t="n">
        <x:v>3</x:v>
      </x:c>
      <x:c r="E242" s="23" t="str"/>
      <x:c r="F242" s="23" t="n">
        <x:f>IF(E242="",0,LEN(E242)-LEN(SUBSTITUTE(E242,CHAR(10),""))+1)</x:f>
        <x:v>0</x:v>
      </x:c>
      <x:c r="G242" s="23" t="str"/>
      <x:c r="H242" s="23" t="n">
        <x:f>IF(G242="",0,LEN(G242&amp;"")-LEN(SUBSTITUTE(G242&amp;"",CHAR(10),""))+1)</x:f>
        <x:v>0</x:v>
      </x:c>
      <x:c r="I242" s="23" t="str"/>
      <x:c r="J242" s="23" t="str">
        <x:v>No developed-article link recorded</x:v>
      </x:c>
      <x:c r="K242" s="23" t="str">
        <x:v>Not inferred</x:v>
      </x:c>
      <x:c r="L242" s="34" t="str">
        <x:v>fc57c3e596b6d186e148fa21f2ec36301756f547bf03b16759da60afa8c60ae5</x:v>
      </x:c>
      <x:c r="M242" s="32" t="n">
        <x:v>7540</x:v>
      </x:c>
      <x:c r="N242" s="23" t="str">
        <x:v>https://v5ma.github.io/theology-wiki/san-reader.html?page=neo-mind-cycle-evolution</x:v>
      </x:c>
    </x:row>
    <x:row r="243" ht="56" customHeight="1">
      <x:c r="A243" s="23" t="str">
        <x:v>Netanyahu's controversial rhetoric</x:v>
      </x:c>
      <x:c r="B243" s="23" t="str">
        <x:v>gpt2026dragon2008_Netanyahu_s_controversial_rhetoric.txt</x:v>
      </x:c>
      <x:c r="C243" s="23" t="str">
        <x:v>2025-07-31</x:v>
      </x:c>
      <x:c r="D243" s="23" t="n">
        <x:v>10</x:v>
      </x:c>
      <x:c r="E243" s="23" t="str"/>
      <x:c r="F243" s="23" t="n">
        <x:f>IF(E243="",0,LEN(E243)-LEN(SUBSTITUTE(E243,CHAR(10),""))+1)</x:f>
        <x:v>0</x:v>
      </x:c>
      <x:c r="G243" s="23" t="str"/>
      <x:c r="H243" s="23" t="n">
        <x:f>IF(G243="",0,LEN(G243&amp;"")-LEN(SUBSTITUTE(G243&amp;"",CHAR(10),""))+1)</x:f>
        <x:v>0</x:v>
      </x:c>
      <x:c r="I243" s="23" t="str"/>
      <x:c r="J243" s="23" t="str">
        <x:v>No developed-article link recorded</x:v>
      </x:c>
      <x:c r="K243" s="23" t="str">
        <x:v>Not inferred</x:v>
      </x:c>
      <x:c r="L243" s="34" t="str">
        <x:v>954899ad45e2832b3ed9fcbe7ccecfe30573980d516be83e02695c5e563687dd</x:v>
      </x:c>
      <x:c r="M243" s="32" t="n">
        <x:v>32997</x:v>
      </x:c>
      <x:c r="N243" s="23" t="str">
        <x:v>https://v5ma.github.io/theology-wiki/san-reader.html?page=netanyahu-s-controversial-rhetoric</x:v>
      </x:c>
    </x:row>
    <x:row r="244" ht="56" customHeight="1">
      <x:c r="A244" s="23" t="str">
        <x:v>Neurohacker Bio Summary</x:v>
      </x:c>
      <x:c r="B244" s="23" t="str">
        <x:v>gpt2026dragon411_Neurohacker_Bio_Summary.txt</x:v>
      </x:c>
      <x:c r="C244" s="23" t="str">
        <x:v>2024-11-10</x:v>
      </x:c>
      <x:c r="D244" s="23" t="n">
        <x:v>1</x:v>
      </x:c>
      <x:c r="E244" s="23" t="str"/>
      <x:c r="F244" s="23" t="n">
        <x:f>IF(E244="",0,LEN(E244)-LEN(SUBSTITUTE(E244,CHAR(10),""))+1)</x:f>
        <x:v>0</x:v>
      </x:c>
      <x:c r="G244" s="23" t="str"/>
      <x:c r="H244" s="23" t="n">
        <x:f>IF(G244="",0,LEN(G244&amp;"")-LEN(SUBSTITUTE(G244&amp;"",CHAR(10),""))+1)</x:f>
        <x:v>0</x:v>
      </x:c>
      <x:c r="I244" s="23" t="str"/>
      <x:c r="J244" s="23" t="str">
        <x:v>No developed-article link recorded</x:v>
      </x:c>
      <x:c r="K244" s="23" t="str">
        <x:v>Not inferred</x:v>
      </x:c>
      <x:c r="L244" s="34" t="str">
        <x:v>e5295b50614c805bf4c0512b1c74b89afcc63c2402bd615fd9dc99280e8abf03</x:v>
      </x:c>
      <x:c r="M244" s="32" t="n">
        <x:v>1726</x:v>
      </x:c>
      <x:c r="N244" s="23" t="str">
        <x:v>https://v5ma.github.io/theology-wiki/san-reader.html?page=neurohacker-bio-summary</x:v>
      </x:c>
    </x:row>
    <x:row r="245" ht="56" customHeight="1">
      <x:c r="A245" s="23" t="str">
        <x:v>Nietzsche Jesus Gnostic Resources</x:v>
      </x:c>
      <x:c r="B245" s="23" t="str">
        <x:v>gpt2026dragon1111_Nietzsche_Jesus_Gnostic_Resources.txt</x:v>
      </x:c>
      <x:c r="C245" s="23" t="str">
        <x:v>2025-03-18</x:v>
      </x:c>
      <x:c r="D245" s="23" t="n">
        <x:v>62</x:v>
      </x:c>
      <x:c r="E245" s="23" t="str"/>
      <x:c r="F245" s="23" t="n">
        <x:f>IF(E245="",0,LEN(E245)-LEN(SUBSTITUTE(E245,CHAR(10),""))+1)</x:f>
        <x:v>0</x:v>
      </x:c>
      <x:c r="G245" s="23" t="str"/>
      <x:c r="H245" s="23" t="n">
        <x:f>IF(G245="",0,LEN(G245&amp;"")-LEN(SUBSTITUTE(G245&amp;"",CHAR(10),""))+1)</x:f>
        <x:v>0</x:v>
      </x:c>
      <x:c r="I245" s="23" t="str"/>
      <x:c r="J245" s="23" t="str">
        <x:v>No developed-article link recorded</x:v>
      </x:c>
      <x:c r="K245" s="23" t="str">
        <x:v>Not inferred</x:v>
      </x:c>
      <x:c r="L245" s="34" t="str">
        <x:v>dc68b33fbc532e541697d792a38b341ab8ca686b308591c970816073fc1eded8</x:v>
      </x:c>
      <x:c r="M245" s="32" t="n">
        <x:v>152616</x:v>
      </x:c>
      <x:c r="N245" s="23" t="str">
        <x:v>https://v5ma.github.io/theology-wiki/san-reader.html?page=nietzsche-jesus-gnostic-resources</x:v>
      </x:c>
    </x:row>
    <x:row r="246" ht="56" customHeight="1">
      <x:c r="A246" s="23" t="str">
        <x:v>No pre-trib rapture arguments</x:v>
      </x:c>
      <x:c r="B246" s="23" t="str">
        <x:v>gpt2026dragon2754_No_pre-trib_rapture_arguments.txt</x:v>
      </x:c>
      <x:c r="C246" s="23" t="str">
        <x:v>2025-11-11</x:v>
      </x:c>
      <x:c r="D246" s="23" t="n">
        <x:v>2</x:v>
      </x:c>
      <x:c r="E246" s="23" t="str"/>
      <x:c r="F246" s="23" t="n">
        <x:f>IF(E246="",0,LEN(E246)-LEN(SUBSTITUTE(E246,CHAR(10),""))+1)</x:f>
        <x:v>0</x:v>
      </x:c>
      <x:c r="G246" s="23" t="str"/>
      <x:c r="H246" s="23" t="n">
        <x:f>IF(G246="",0,LEN(G246&amp;"")-LEN(SUBSTITUTE(G246&amp;"",CHAR(10),""))+1)</x:f>
        <x:v>0</x:v>
      </x:c>
      <x:c r="I246" s="23" t="str"/>
      <x:c r="J246" s="23" t="str">
        <x:v>No developed-article link recorded</x:v>
      </x:c>
      <x:c r="K246" s="23" t="str">
        <x:v>Not inferred</x:v>
      </x:c>
      <x:c r="L246" s="34" t="str">
        <x:v>a61e273283d19f1e54b068a12a771a27aa4490e0fdaf5f805feab51090d8ab84</x:v>
      </x:c>
      <x:c r="M246" s="32" t="n">
        <x:v>6437</x:v>
      </x:c>
      <x:c r="N246" s="23" t="str">
        <x:v>https://v5ma.github.io/theology-wiki/san-reader.html?page=no-pre-trib-rapture-arguments</x:v>
      </x:c>
    </x:row>
    <x:row r="247" ht="56" customHeight="1">
      <x:c r="A247" s="23" t="str">
        <x:v>Noah and Moses Jewish Status</x:v>
      </x:c>
      <x:c r="B247" s="23" t="str">
        <x:v>gpt2026dragon3085_Noah_and_Moses_Jewish_Status.txt</x:v>
      </x:c>
      <x:c r="C247" s="23" t="str">
        <x:v>2026-02-16</x:v>
      </x:c>
      <x:c r="D247" s="23" t="n">
        <x:v>23</x:v>
      </x:c>
      <x:c r="E247" s="23" t="str"/>
      <x:c r="F247" s="23" t="n">
        <x:f>IF(E247="",0,LEN(E247)-LEN(SUBSTITUTE(E247,CHAR(10),""))+1)</x:f>
        <x:v>0</x:v>
      </x:c>
      <x:c r="G247" s="23" t="str"/>
      <x:c r="H247" s="23" t="n">
        <x:f>IF(G247="",0,LEN(G247&amp;"")-LEN(SUBSTITUTE(G247&amp;"",CHAR(10),""))+1)</x:f>
        <x:v>0</x:v>
      </x:c>
      <x:c r="I247" s="23" t="str"/>
      <x:c r="J247" s="23" t="str">
        <x:v>No developed-article link recorded</x:v>
      </x:c>
      <x:c r="K247" s="23" t="str">
        <x:v>Not inferred</x:v>
      </x:c>
      <x:c r="L247" s="34" t="str">
        <x:v>676c9ff463157e792128e83a3ac0614627b82678d50fcc1b0bd428fbd513b0cd</x:v>
      </x:c>
      <x:c r="M247" s="32" t="n">
        <x:v>160751</x:v>
      </x:c>
      <x:c r="N247" s="23" t="str">
        <x:v>https://v5ma.github.io/theology-wiki/san-reader.html?page=noah-and-moses-jewish-status</x:v>
      </x:c>
    </x:row>
    <x:row r="248" ht="56" customHeight="1">
      <x:c r="A248" s="23" t="str">
        <x:v>Nuclear War Survival Tips</x:v>
      </x:c>
      <x:c r="B248" s="23" t="str">
        <x:v>gpt2026dragon108_Nuclear_War_Survival_Tips.txt</x:v>
      </x:c>
      <x:c r="C248" s="23" t="str">
        <x:v>2024-08-30</x:v>
      </x:c>
      <x:c r="D248" s="23" t="n">
        <x:v>2</x:v>
      </x:c>
      <x:c r="E248" s="23" t="str"/>
      <x:c r="F248" s="23" t="n">
        <x:f>IF(E248="",0,LEN(E248)-LEN(SUBSTITUTE(E248,CHAR(10),""))+1)</x:f>
        <x:v>0</x:v>
      </x:c>
      <x:c r="G248" s="23" t="str"/>
      <x:c r="H248" s="23" t="n">
        <x:f>IF(G248="",0,LEN(G248&amp;"")-LEN(SUBSTITUTE(G248&amp;"",CHAR(10),""))+1)</x:f>
        <x:v>0</x:v>
      </x:c>
      <x:c r="I248" s="23" t="str"/>
      <x:c r="J248" s="23" t="str">
        <x:v>No developed-article link recorded</x:v>
      </x:c>
      <x:c r="K248" s="23" t="str">
        <x:v>Not inferred</x:v>
      </x:c>
      <x:c r="L248" s="34" t="str">
        <x:v>2e8e2479ba3d55e5b39b2c3875e843fa1ce7858434ca3ee4ef9a0d0568522083</x:v>
      </x:c>
      <x:c r="M248" s="32" t="n">
        <x:v>5250</x:v>
      </x:c>
      <x:c r="N248" s="23" t="str">
        <x:v>https://v5ma.github.io/theology-wiki/san-reader.html?page=nuclear-war-survival-tips</x:v>
      </x:c>
    </x:row>
    <x:row r="249" ht="56" customHeight="1">
      <x:c r="A249" s="23" t="str">
        <x:v>Oil vs Gas Control</x:v>
      </x:c>
      <x:c r="B249" s="23" t="str">
        <x:v>gpt2026dragon3026_Oil_vs_Gas_Control.txt</x:v>
      </x:c>
      <x:c r="C249" s="23" t="str">
        <x:v>2026-01-22</x:v>
      </x:c>
      <x:c r="D249" s="23" t="n">
        <x:v>1</x:v>
      </x:c>
      <x:c r="E249" s="23" t="str"/>
      <x:c r="F249" s="23" t="n">
        <x:f>IF(E249="",0,LEN(E249)-LEN(SUBSTITUTE(E249,CHAR(10),""))+1)</x:f>
        <x:v>0</x:v>
      </x:c>
      <x:c r="G249" s="23" t="str"/>
      <x:c r="H249" s="23" t="n">
        <x:f>IF(G249="",0,LEN(G249&amp;"")-LEN(SUBSTITUTE(G249&amp;"",CHAR(10),""))+1)</x:f>
        <x:v>0</x:v>
      </x:c>
      <x:c r="I249" s="23" t="str"/>
      <x:c r="J249" s="23" t="str">
        <x:v>No developed-article link recorded</x:v>
      </x:c>
      <x:c r="K249" s="23" t="str">
        <x:v>Not inferred</x:v>
      </x:c>
      <x:c r="L249" s="34" t="str">
        <x:v>dc5ba2eb60c068c4c7f102a3e230b449e1ed2ea1681b004ceec81edd0c4835e7</x:v>
      </x:c>
      <x:c r="M249" s="32" t="n">
        <x:v>5135</x:v>
      </x:c>
      <x:c r="N249" s="23" t="str">
        <x:v>https://v5ma.github.io/theology-wiki/san-reader.html?page=oil-vs-gas-control</x:v>
      </x:c>
    </x:row>
    <x:row r="250" ht="56" customHeight="1">
      <x:c r="A250" s="23" t="str">
        <x:v>Oneness with God Perspectives</x:v>
      </x:c>
      <x:c r="B250" s="23" t="str">
        <x:v>gpt2026dragon498_Oneness_with_God_Perspectives.txt</x:v>
      </x:c>
      <x:c r="C250" s="23" t="str">
        <x:v>2024-12-07</x:v>
      </x:c>
      <x:c r="D250" s="23" t="n">
        <x:v>2</x:v>
      </x:c>
      <x:c r="E250" s="23" t="str"/>
      <x:c r="F250" s="23" t="n">
        <x:f>IF(E250="",0,LEN(E250)-LEN(SUBSTITUTE(E250,CHAR(10),""))+1)</x:f>
        <x:v>0</x:v>
      </x:c>
      <x:c r="G250" s="23" t="str"/>
      <x:c r="H250" s="23" t="n">
        <x:f>IF(G250="",0,LEN(G250&amp;"")-LEN(SUBSTITUTE(G250&amp;"",CHAR(10),""))+1)</x:f>
        <x:v>0</x:v>
      </x:c>
      <x:c r="I250" s="23" t="str"/>
      <x:c r="J250" s="23" t="str">
        <x:v>No developed-article link recorded</x:v>
      </x:c>
      <x:c r="K250" s="23" t="str">
        <x:v>Not inferred</x:v>
      </x:c>
      <x:c r="L250" s="34" t="str">
        <x:v>a88dedcdcefe080d2c9f0ac045f59a94bf5d8cd29dc16d34f70363e3250c4d1f</x:v>
      </x:c>
      <x:c r="M250" s="32" t="n">
        <x:v>4609</x:v>
      </x:c>
      <x:c r="N250" s="23" t="str">
        <x:v>https://v5ma.github.io/theology-wiki/san-reader.html?page=oneness-with-god-perspectives</x:v>
      </x:c>
    </x:row>
    <x:row r="251" ht="56" customHeight="1">
      <x:c r="A251" s="23" t="str">
        <x:v>Oort Cloud and YEC</x:v>
      </x:c>
      <x:c r="B251" s="23" t="str">
        <x:v>gpt2026dragon545_Oort_Cloud_and_YEC.txt</x:v>
      </x:c>
      <x:c r="C251" s="23" t="str">
        <x:v>2024-12-16</x:v>
      </x:c>
      <x:c r="D251" s="23" t="n">
        <x:v>3</x:v>
      </x:c>
      <x:c r="E251" s="23" t="str"/>
      <x:c r="F251" s="23" t="n">
        <x:f>IF(E251="",0,LEN(E251)-LEN(SUBSTITUTE(E251,CHAR(10),""))+1)</x:f>
        <x:v>0</x:v>
      </x:c>
      <x:c r="G251" s="23" t="str"/>
      <x:c r="H251" s="23" t="n">
        <x:f>IF(G251="",0,LEN(G251&amp;"")-LEN(SUBSTITUTE(G251&amp;"",CHAR(10),""))+1)</x:f>
        <x:v>0</x:v>
      </x:c>
      <x:c r="I251" s="23" t="str"/>
      <x:c r="J251" s="23" t="str">
        <x:v>No developed-article link recorded</x:v>
      </x:c>
      <x:c r="K251" s="23" t="str">
        <x:v>Not inferred</x:v>
      </x:c>
      <x:c r="L251" s="34" t="str">
        <x:v>9d9de31e28af771aca1a453a27a1b57e74b5e8ee7dd2e56fbaff3ca4cfbf5249</x:v>
      </x:c>
      <x:c r="M251" s="32" t="n">
        <x:v>4966</x:v>
      </x:c>
      <x:c r="N251" s="23" t="str">
        <x:v>https://v5ma.github.io/theology-wiki/san-reader.html?page=oort-cloud-and-yec</x:v>
      </x:c>
    </x:row>
    <x:row r="252" ht="56" customHeight="1">
      <x:c r="A252" s="23" t="str">
        <x:v>Original Sin vs Ezekiel</x:v>
      </x:c>
      <x:c r="B252" s="23" t="str">
        <x:v>gpt2026dragon1808_Original_Sin_vs_Ezekiel.txt</x:v>
      </x:c>
      <x:c r="C252" s="23" t="str">
        <x:v>2025-06-30</x:v>
      </x:c>
      <x:c r="D252" s="23" t="n">
        <x:v>26</x:v>
      </x:c>
      <x:c r="E252" s="23" t="str"/>
      <x:c r="F252" s="23" t="n">
        <x:f>IF(E252="",0,LEN(E252)-LEN(SUBSTITUTE(E252,CHAR(10),""))+1)</x:f>
        <x:v>0</x:v>
      </x:c>
      <x:c r="G252" s="23" t="str"/>
      <x:c r="H252" s="23" t="n">
        <x:f>IF(G252="",0,LEN(G252&amp;"")-LEN(SUBSTITUTE(G252&amp;"",CHAR(10),""))+1)</x:f>
        <x:v>0</x:v>
      </x:c>
      <x:c r="I252" s="23" t="str"/>
      <x:c r="J252" s="23" t="str">
        <x:v>No developed-article link recorded</x:v>
      </x:c>
      <x:c r="K252" s="23" t="str">
        <x:v>Not inferred</x:v>
      </x:c>
      <x:c r="L252" s="34" t="str">
        <x:v>cdd9471cd182293315bdf0f6cfa3ad1437510bfa78c7ed2f8364b8c5b6798846</x:v>
      </x:c>
      <x:c r="M252" s="32" t="n">
        <x:v>42149</x:v>
      </x:c>
      <x:c r="N252" s="23" t="str">
        <x:v>https://v5ma.github.io/theology-wiki/san-reader.html?page=original-sin-vs-ezekiel</x:v>
      </x:c>
    </x:row>
    <x:row r="253" ht="56" customHeight="1">
      <x:c r="A253" s="23" t="str">
        <x:v>Parthians and Medes meaning</x:v>
      </x:c>
      <x:c r="B253" s="23" t="str">
        <x:v>gpt2026dragon2684_Parthians_and_Medes_meaning.txt</x:v>
      </x:c>
      <x:c r="C253" s="23" t="str">
        <x:v>2025-10-25</x:v>
      </x:c>
      <x:c r="D253" s="23" t="n">
        <x:v>62</x:v>
      </x:c>
      <x:c r="E253" s="23" t="str">
        <x:v>moses-volcano-and-exodus-chronology
exodus-to-temple-competing-chronologies</x:v>
      </x:c>
      <x:c r="F253" s="23" t="n">
        <x:f>IF(E253="",0,LEN(E253)-LEN(SUBSTITUTE(E253,CHAR(10),""))+1)</x:f>
        <x:v>2</x:v>
      </x:c>
      <x:c r="G253" s="23" t="str">
        <x:v>Turn 23
Turn 29
Turn 46</x:v>
      </x:c>
      <x:c r="H253" s="23" t="n">
        <x:f>IF(G253="",0,LEN(G253&amp;"")-LEN(SUBSTITUTE(G253&amp;"",CHAR(10),""))+1)</x:f>
        <x:v>3</x:v>
      </x:c>
      <x:c r="I253" s="23" t="str">
        <x:v>catastrophe-memory</x:v>
      </x:c>
      <x:c r="J253" s="23" t="str">
        <x:v>Linked to developed article</x:v>
      </x:c>
      <x:c r="K253" s="23" t="str">
        <x:v>Not inferred</x:v>
      </x:c>
      <x:c r="L253" s="34" t="str">
        <x:v>bb9bcbad543b9871a4be878556fcf93650cf625755754b129bf877627cafb120</x:v>
      </x:c>
      <x:c r="M253" s="32" t="n">
        <x:v>147369</x:v>
      </x:c>
      <x:c r="N253" s="23" t="str">
        <x:v>https://v5ma.github.io/theology-wiki/san-reader.html?page=parthians-and-medes-meaning</x:v>
      </x:c>
    </x:row>
    <x:row r="254" ht="56" customHeight="1">
      <x:c r="A254" s="23" t="str">
        <x:v>Paul and the Resurrection</x:v>
      </x:c>
      <x:c r="B254" s="23" t="str">
        <x:v>gpt2026dragon1619_Paul_and_the_Resurrection.txt</x:v>
      </x:c>
      <x:c r="C254" s="23" t="str">
        <x:v>2025-06-03</x:v>
      </x:c>
      <x:c r="D254" s="23" t="n">
        <x:v>8</x:v>
      </x:c>
      <x:c r="E254" s="23" t="str"/>
      <x:c r="F254" s="23" t="n">
        <x:f>IF(E254="",0,LEN(E254)-LEN(SUBSTITUTE(E254,CHAR(10),""))+1)</x:f>
        <x:v>0</x:v>
      </x:c>
      <x:c r="G254" s="23" t="str"/>
      <x:c r="H254" s="23" t="n">
        <x:f>IF(G254="",0,LEN(G254&amp;"")-LEN(SUBSTITUTE(G254&amp;"",CHAR(10),""))+1)</x:f>
        <x:v>0</x:v>
      </x:c>
      <x:c r="I254" s="23" t="str"/>
      <x:c r="J254" s="23" t="str">
        <x:v>No developed-article link recorded</x:v>
      </x:c>
      <x:c r="K254" s="23" t="str">
        <x:v>Not inferred</x:v>
      </x:c>
      <x:c r="L254" s="34" t="str">
        <x:v>6ee940e233685e72a5cdd7e5146bdf518d55930b87dbe012b6d7fa2bffaa011f</x:v>
      </x:c>
      <x:c r="M254" s="32" t="n">
        <x:v>15304</x:v>
      </x:c>
      <x:c r="N254" s="23" t="str">
        <x:v>https://v5ma.github.io/theology-wiki/san-reader.html?page=paul-and-the-resurrection</x:v>
      </x:c>
    </x:row>
    <x:row r="255" ht="56" customHeight="1">
      <x:c r="A255" s="23" t="str">
        <x:v>Paul Mythicism and Sources</x:v>
      </x:c>
      <x:c r="B255" s="23" t="str">
        <x:v>gpt2026dragon1622_Paul_Mythicism_and_Sources.txt</x:v>
      </x:c>
      <x:c r="C255" s="23" t="str">
        <x:v>2025-06-03</x:v>
      </x:c>
      <x:c r="D255" s="23" t="n">
        <x:v>1</x:v>
      </x:c>
      <x:c r="E255" s="23" t="str"/>
      <x:c r="F255" s="23" t="n">
        <x:f>IF(E255="",0,LEN(E255)-LEN(SUBSTITUTE(E255,CHAR(10),""))+1)</x:f>
        <x:v>0</x:v>
      </x:c>
      <x:c r="G255" s="23" t="str"/>
      <x:c r="H255" s="23" t="n">
        <x:f>IF(G255="",0,LEN(G255&amp;"")-LEN(SUBSTITUTE(G255&amp;"",CHAR(10),""))+1)</x:f>
        <x:v>0</x:v>
      </x:c>
      <x:c r="I255" s="23" t="str"/>
      <x:c r="J255" s="23" t="str">
        <x:v>No developed-article link recorded</x:v>
      </x:c>
      <x:c r="K255" s="23" t="str">
        <x:v>Not inferred</x:v>
      </x:c>
      <x:c r="L255" s="34" t="str">
        <x:v>b51d385ddc96678a910f255906a000545742cb22f769a812bfe244359934f917</x:v>
      </x:c>
      <x:c r="M255" s="32" t="n">
        <x:v>4341</x:v>
      </x:c>
      <x:c r="N255" s="23" t="str">
        <x:v>https://v5ma.github.io/theology-wiki/san-reader.html?page=paul-mythicism-and-sources</x:v>
      </x:c>
    </x:row>
    <x:row r="256" ht="56" customHeight="1">
      <x:c r="A256" s="23" t="str">
        <x:v>Paul vs James Movement</x:v>
      </x:c>
      <x:c r="B256" s="23" t="str">
        <x:v>gpt2026dragon1576_Paul_vs_James_Movement.txt</x:v>
      </x:c>
      <x:c r="C256" s="23" t="str">
        <x:v>2025-05-27</x:v>
      </x:c>
      <x:c r="D256" s="23" t="n">
        <x:v>82</x:v>
      </x:c>
      <x:c r="E256" s="23" t="str">
        <x:v>sacred-inheritance-and-rival-continuations
tor-thomas-and-gnostic-transmission
james-and-contested-succession</x:v>
      </x:c>
      <x:c r="F256" s="23" t="n">
        <x:f>IF(E256="",0,LEN(E256)-LEN(SUBSTITUTE(E256,CHAR(10),""))+1)</x:f>
        <x:v>3</x:v>
      </x:c>
      <x:c r="G256" s="23" t="str">
        <x:v>Turn 1</x:v>
      </x:c>
      <x:c r="H256" s="23" t="n">
        <x:f>IF(G256="",0,LEN(G256&amp;"")-LEN(SUBSTITUTE(G256&amp;"",CHAR(10),""))+1)</x:f>
        <x:v>1</x:v>
      </x:c>
      <x:c r="I256" s="23" t="str">
        <x:v>shared-archive
teacher-identity
thomas
continuing</x:v>
      </x:c>
      <x:c r="J256" s="23" t="str">
        <x:v>Linked to developed article</x:v>
      </x:c>
      <x:c r="K256" s="23" t="str">
        <x:v>Not inferred</x:v>
      </x:c>
      <x:c r="L256" s="34" t="str">
        <x:v>f4140f33480dc7db3f3afb692985c7136a98931f383e1c0d09a3369197beabbe</x:v>
      </x:c>
      <x:c r="M256" s="32" t="n">
        <x:v>100031</x:v>
      </x:c>
      <x:c r="N256" s="23" t="str">
        <x:v>https://v5ma.github.io/theology-wiki/san-reader.html?page=paul-vs-james-movement</x:v>
      </x:c>
    </x:row>
    <x:row r="257" ht="56" customHeight="1">
      <x:c r="A257" s="23" t="str">
        <x:v>Paul vs Jesus Teachings</x:v>
      </x:c>
      <x:c r="B257" s="23" t="str">
        <x:v>gpt2026dragon1583_Paul_vs_Jesus_Teachings.txt</x:v>
      </x:c>
      <x:c r="C257" s="23" t="str">
        <x:v>2025-05-29</x:v>
      </x:c>
      <x:c r="D257" s="23" t="n">
        <x:v>6</x:v>
      </x:c>
      <x:c r="E257" s="23" t="str"/>
      <x:c r="F257" s="23" t="n">
        <x:f>IF(E257="",0,LEN(E257)-LEN(SUBSTITUTE(E257,CHAR(10),""))+1)</x:f>
        <x:v>0</x:v>
      </x:c>
      <x:c r="G257" s="23" t="str"/>
      <x:c r="H257" s="23" t="n">
        <x:f>IF(G257="",0,LEN(G257&amp;"")-LEN(SUBSTITUTE(G257&amp;"",CHAR(10),""))+1)</x:f>
        <x:v>0</x:v>
      </x:c>
      <x:c r="I257" s="23" t="str"/>
      <x:c r="J257" s="23" t="str">
        <x:v>No developed-article link recorded</x:v>
      </x:c>
      <x:c r="K257" s="23" t="str">
        <x:v>Not inferred</x:v>
      </x:c>
      <x:c r="L257" s="34" t="str">
        <x:v>1eda5d571539ef64a91500f3d5d206f6831389d9698e8a164b041dcb2dfb254b</x:v>
      </x:c>
      <x:c r="M257" s="32" t="n">
        <x:v>4196</x:v>
      </x:c>
      <x:c r="N257" s="23" t="str">
        <x:v>https://v5ma.github.io/theology-wiki/san-reader.html?page=paul-vs-jesus-teachings</x:v>
      </x:c>
    </x:row>
    <x:row r="258" ht="56" customHeight="1">
      <x:c r="A258" s="23" t="str">
        <x:v>Paul vs Luke Resurrection</x:v>
      </x:c>
      <x:c r="B258" s="23" t="str">
        <x:v>gpt2026dragon1742_Paul_vs_Luke_Resurrection.txt</x:v>
      </x:c>
      <x:c r="C258" s="23" t="str">
        <x:v>2025-06-22</x:v>
      </x:c>
      <x:c r="D258" s="23" t="n">
        <x:v>7</x:v>
      </x:c>
      <x:c r="E258" s="23" t="str"/>
      <x:c r="F258" s="23" t="n">
        <x:f>IF(E258="",0,LEN(E258)-LEN(SUBSTITUTE(E258,CHAR(10),""))+1)</x:f>
        <x:v>0</x:v>
      </x:c>
      <x:c r="G258" s="23" t="str"/>
      <x:c r="H258" s="23" t="n">
        <x:f>IF(G258="",0,LEN(G258&amp;"")-LEN(SUBSTITUTE(G258&amp;"",CHAR(10),""))+1)</x:f>
        <x:v>0</x:v>
      </x:c>
      <x:c r="I258" s="23" t="str"/>
      <x:c r="J258" s="23" t="str">
        <x:v>No developed-article link recorded</x:v>
      </x:c>
      <x:c r="K258" s="23" t="str">
        <x:v>Not inferred</x:v>
      </x:c>
      <x:c r="L258" s="34" t="str">
        <x:v>c56422b75423baa0d09993e1c9a96e8213941957acd16ee526342c3a683b1868</x:v>
      </x:c>
      <x:c r="M258" s="32" t="n">
        <x:v>20477</x:v>
      </x:c>
      <x:c r="N258" s="23" t="str">
        <x:v>https://v5ma.github.io/theology-wiki/san-reader.html?page=paul-vs-luke-resurrection</x:v>
      </x:c>
    </x:row>
    <x:row r="259" ht="56" customHeight="1">
      <x:c r="A259" s="23" t="str">
        <x:v>Paul's Antichristian Message</x:v>
      </x:c>
      <x:c r="B259" s="23" t="str">
        <x:v>gpt2026dragon1533_Paul_s_Antichristian_Message.txt</x:v>
      </x:c>
      <x:c r="C259" s="23" t="str">
        <x:v>2025-05-21</x:v>
      </x:c>
      <x:c r="D259" s="23" t="n">
        <x:v>4</x:v>
      </x:c>
      <x:c r="E259" s="23" t="str"/>
      <x:c r="F259" s="23" t="n">
        <x:f>IF(E259="",0,LEN(E259)-LEN(SUBSTITUTE(E259,CHAR(10),""))+1)</x:f>
        <x:v>0</x:v>
      </x:c>
      <x:c r="G259" s="23" t="str"/>
      <x:c r="H259" s="23" t="n">
        <x:f>IF(G259="",0,LEN(G259&amp;"")-LEN(SUBSTITUTE(G259&amp;"",CHAR(10),""))+1)</x:f>
        <x:v>0</x:v>
      </x:c>
      <x:c r="I259" s="23" t="str"/>
      <x:c r="J259" s="23" t="str">
        <x:v>No developed-article link recorded</x:v>
      </x:c>
      <x:c r="K259" s="23" t="str">
        <x:v>Not inferred</x:v>
      </x:c>
      <x:c r="L259" s="34" t="str">
        <x:v>a98a446df4bb3b3767449708b6aa74ce874de1e65e2a468b08ef38d14f40b179</x:v>
      </x:c>
      <x:c r="M259" s="32" t="n">
        <x:v>2131</x:v>
      </x:c>
      <x:c r="N259" s="23" t="str">
        <x:v>https://v5ma.github.io/theology-wiki/san-reader.html?page=paul-s-antichristian-message</x:v>
      </x:c>
    </x:row>
    <x:row r="260" ht="56" customHeight="1">
      <x:c r="A260" s="23" t="str">
        <x:v>Peace Deal Credibility</x:v>
      </x:c>
      <x:c r="B260" s="23" t="str">
        <x:v>gpt2026dragon2994_Peace_Deal_Credibility.txt</x:v>
      </x:c>
      <x:c r="C260" s="23" t="str">
        <x:v>2026-01-18</x:v>
      </x:c>
      <x:c r="D260" s="23" t="n">
        <x:v>7</x:v>
      </x:c>
      <x:c r="E260" s="23" t="str"/>
      <x:c r="F260" s="23" t="n">
        <x:f>IF(E260="",0,LEN(E260)-LEN(SUBSTITUTE(E260,CHAR(10),""))+1)</x:f>
        <x:v>0</x:v>
      </x:c>
      <x:c r="G260" s="23" t="str"/>
      <x:c r="H260" s="23" t="n">
        <x:f>IF(G260="",0,LEN(G260&amp;"")-LEN(SUBSTITUTE(G260&amp;"",CHAR(10),""))+1)</x:f>
        <x:v>0</x:v>
      </x:c>
      <x:c r="I260" s="23" t="str"/>
      <x:c r="J260" s="23" t="str">
        <x:v>No developed-article link recorded</x:v>
      </x:c>
      <x:c r="K260" s="23" t="str">
        <x:v>Not inferred</x:v>
      </x:c>
      <x:c r="L260" s="34" t="str">
        <x:v>3f22cbbfcf26799cb6ced25a7954d32713b92580c5f28658671b973cc5b6c92b</x:v>
      </x:c>
      <x:c r="M260" s="32" t="n">
        <x:v>13751</x:v>
      </x:c>
      <x:c r="N260" s="23" t="str">
        <x:v>https://v5ma.github.io/theology-wiki/san-reader.html?page=peace-deal-credibility</x:v>
      </x:c>
    </x:row>
    <x:row r="261" ht="56" customHeight="1">
      <x:c r="A261" s="23" t="str">
        <x:v>Peale and Positive Thinking</x:v>
      </x:c>
      <x:c r="B261" s="23" t="str">
        <x:v>gpt2026dragon2993_Peale_and_Positive_Thinking.txt</x:v>
      </x:c>
      <x:c r="C261" s="23" t="str">
        <x:v>2026-01-17</x:v>
      </x:c>
      <x:c r="D261" s="23" t="n">
        <x:v>10</x:v>
      </x:c>
      <x:c r="E261" s="23" t="str"/>
      <x:c r="F261" s="23" t="n">
        <x:f>IF(E261="",0,LEN(E261)-LEN(SUBSTITUTE(E261,CHAR(10),""))+1)</x:f>
        <x:v>0</x:v>
      </x:c>
      <x:c r="G261" s="23" t="str"/>
      <x:c r="H261" s="23" t="n">
        <x:f>IF(G261="",0,LEN(G261&amp;"")-LEN(SUBSTITUTE(G261&amp;"",CHAR(10),""))+1)</x:f>
        <x:v>0</x:v>
      </x:c>
      <x:c r="I261" s="23" t="str"/>
      <x:c r="J261" s="23" t="str">
        <x:v>No developed-article link recorded</x:v>
      </x:c>
      <x:c r="K261" s="23" t="str">
        <x:v>Not inferred</x:v>
      </x:c>
      <x:c r="L261" s="34" t="str">
        <x:v>9d9adb4dfc7e93c40798259fdebd87fdede81c2e7c31959501f1acd81d7d2d42</x:v>
      </x:c>
      <x:c r="M261" s="32" t="n">
        <x:v>20188</x:v>
      </x:c>
      <x:c r="N261" s="23" t="str">
        <x:v>https://v5ma.github.io/theology-wiki/san-reader.html?page=peale-and-positive-thinking</x:v>
      </x:c>
    </x:row>
    <x:row r="262" ht="56" customHeight="1">
      <x:c r="A262" s="23" t="str">
        <x:v>Philosophical Polarities of Power</x:v>
      </x:c>
      <x:c r="B262" s="23" t="str">
        <x:v>gpt2026dragon1121_Philosophical_Polarities_of_Power.txt</x:v>
      </x:c>
      <x:c r="C262" s="23" t="str">
        <x:v>2025-03-20</x:v>
      </x:c>
      <x:c r="D262" s="23" t="n">
        <x:v>9</x:v>
      </x:c>
      <x:c r="E262" s="23" t="str"/>
      <x:c r="F262" s="23" t="n">
        <x:f>IF(E262="",0,LEN(E262)-LEN(SUBSTITUTE(E262,CHAR(10),""))+1)</x:f>
        <x:v>0</x:v>
      </x:c>
      <x:c r="G262" s="23" t="str"/>
      <x:c r="H262" s="23" t="n">
        <x:f>IF(G262="",0,LEN(G262&amp;"")-LEN(SUBSTITUTE(G262&amp;"",CHAR(10),""))+1)</x:f>
        <x:v>0</x:v>
      </x:c>
      <x:c r="I262" s="23" t="str"/>
      <x:c r="J262" s="23" t="str">
        <x:v>No developed-article link recorded</x:v>
      </x:c>
      <x:c r="K262" s="23" t="str">
        <x:v>Not inferred</x:v>
      </x:c>
      <x:c r="L262" s="34" t="str">
        <x:v>6385500b7b61bf5f2c863f3642c6a2ea6a9acc3eaae165cf685ac226320c16f5</x:v>
      </x:c>
      <x:c r="M262" s="32" t="n">
        <x:v>24326</x:v>
      </x:c>
      <x:c r="N262" s="23" t="str">
        <x:v>https://v5ma.github.io/theology-wiki/san-reader.html?page=philosophical-polarities-of-power</x:v>
      </x:c>
    </x:row>
    <x:row r="263" ht="56" customHeight="1">
      <x:c r="A263" s="23" t="str">
        <x:v>PIE and Mesopotamian References</x:v>
      </x:c>
      <x:c r="B263" s="23" t="str">
        <x:v>gpt2026dragon1096_PIE_and_Mesopotamian_References.txt</x:v>
      </x:c>
      <x:c r="C263" s="23" t="str">
        <x:v>2025-03-13</x:v>
      </x:c>
      <x:c r="D263" s="23" t="n">
        <x:v>24</x:v>
      </x:c>
      <x:c r="E263" s="23" t="str"/>
      <x:c r="F263" s="23" t="n">
        <x:f>IF(E263="",0,LEN(E263)-LEN(SUBSTITUTE(E263,CHAR(10),""))+1)</x:f>
        <x:v>0</x:v>
      </x:c>
      <x:c r="G263" s="23" t="str"/>
      <x:c r="H263" s="23" t="n">
        <x:f>IF(G263="",0,LEN(G263&amp;"")-LEN(SUBSTITUTE(G263&amp;"",CHAR(10),""))+1)</x:f>
        <x:v>0</x:v>
      </x:c>
      <x:c r="I263" s="23" t="str"/>
      <x:c r="J263" s="23" t="str">
        <x:v>No developed-article link recorded</x:v>
      </x:c>
      <x:c r="K263" s="23" t="str">
        <x:v>Not inferred</x:v>
      </x:c>
      <x:c r="L263" s="34" t="str">
        <x:v>ca6731844547b792dc010ddae052e0432770f78130e07565e400a58279b26300</x:v>
      </x:c>
      <x:c r="M263" s="32" t="n">
        <x:v>120159</x:v>
      </x:c>
      <x:c r="N263" s="23" t="str">
        <x:v>https://v5ma.github.io/theology-wiki/san-reader.html?page=pie-and-mesopotamian-references</x:v>
      </x:c>
    </x:row>
    <x:row r="264" ht="56" customHeight="1">
      <x:c r="A264" s="23" t="str">
        <x:v>Pilate life timeline</x:v>
      </x:c>
      <x:c r="B264" s="23" t="str">
        <x:v>gpt2026dragon2333_Pilate_life_timeline.txt</x:v>
      </x:c>
      <x:c r="C264" s="23" t="str">
        <x:v>2025-09-08</x:v>
      </x:c>
      <x:c r="D264" s="23" t="n">
        <x:v>21</x:v>
      </x:c>
      <x:c r="E264" s="23" t="str">
        <x:v>jesus-teacher-of-righteousness-hypothesis</x:v>
      </x:c>
      <x:c r="F264" s="23" t="n">
        <x:f>IF(E264="",0,LEN(E264)-LEN(SUBSTITUTE(E264,CHAR(10),""))+1)</x:f>
        <x:v>1</x:v>
      </x:c>
      <x:c r="G264" s="23" t="str"/>
      <x:c r="H264" s="23" t="n">
        <x:f>IF(G264="",0,LEN(G264&amp;"")-LEN(SUBSTITUTE(G264&amp;"",CHAR(10),""))+1)</x:f>
        <x:v>0</x:v>
      </x:c>
      <x:c r="I264" s="23" t="str">
        <x:v>teacher-identity</x:v>
      </x:c>
      <x:c r="J264" s="23" t="str">
        <x:v>Linked to developed article</x:v>
      </x:c>
      <x:c r="K264" s="23" t="str">
        <x:v>Not inferred</x:v>
      </x:c>
      <x:c r="L264" s="34" t="str">
        <x:v>756823b22f4260c1a4ada60a2c25c3365209822c10a4689acc0947b13b6cb0d8</x:v>
      </x:c>
      <x:c r="M264" s="32" t="n">
        <x:v>76033</x:v>
      </x:c>
      <x:c r="N264" s="23" t="str">
        <x:v>https://v5ma.github.io/theology-wiki/san-reader.html?page=pilate-life-timeline</x:v>
      </x:c>
    </x:row>
    <x:row r="265" ht="56" customHeight="1">
      <x:c r="A265" s="23" t="str">
        <x:v>Pistis Sophia Summary</x:v>
      </x:c>
      <x:c r="B265" s="23" t="str">
        <x:v>gpt2026dragon1079_Pistis_Sophia_Summary.txt</x:v>
      </x:c>
      <x:c r="C265" s="23" t="str">
        <x:v>2025-03-09</x:v>
      </x:c>
      <x:c r="D265" s="23" t="n">
        <x:v>12</x:v>
      </x:c>
      <x:c r="E265" s="23" t="str"/>
      <x:c r="F265" s="23" t="n">
        <x:f>IF(E265="",0,LEN(E265)-LEN(SUBSTITUTE(E265,CHAR(10),""))+1)</x:f>
        <x:v>0</x:v>
      </x:c>
      <x:c r="G265" s="23" t="str"/>
      <x:c r="H265" s="23" t="n">
        <x:f>IF(G265="",0,LEN(G265&amp;"")-LEN(SUBSTITUTE(G265&amp;"",CHAR(10),""))+1)</x:f>
        <x:v>0</x:v>
      </x:c>
      <x:c r="I265" s="23" t="str"/>
      <x:c r="J265" s="23" t="str">
        <x:v>No developed-article link recorded</x:v>
      </x:c>
      <x:c r="K265" s="23" t="str">
        <x:v>Not inferred</x:v>
      </x:c>
      <x:c r="L265" s="34" t="str">
        <x:v>0f896d81bf94ace6436811fa371dba5bd93a41a7bb16c1989c94a32234f7e1c6</x:v>
      </x:c>
      <x:c r="M265" s="32" t="n">
        <x:v>19286</x:v>
      </x:c>
      <x:c r="N265" s="23" t="str">
        <x:v>https://v5ma.github.io/theology-wiki/san-reader.html?page=pistis-sophia-summary</x:v>
      </x:c>
    </x:row>
    <x:row r="266" ht="56" customHeight="1">
      <x:c r="A266" s="23" t="str">
        <x:v>Plato Hermeticism and Vibration</x:v>
      </x:c>
      <x:c r="B266" s="23" t="str">
        <x:v>gpt2026dragon1418_Plato_Hermeticism_and_Vibration.txt</x:v>
      </x:c>
      <x:c r="C266" s="23" t="str">
        <x:v>2025-05-02</x:v>
      </x:c>
      <x:c r="D266" s="23" t="n">
        <x:v>5</x:v>
      </x:c>
      <x:c r="E266" s="23" t="str"/>
      <x:c r="F266" s="23" t="n">
        <x:f>IF(E266="",0,LEN(E266)-LEN(SUBSTITUTE(E266,CHAR(10),""))+1)</x:f>
        <x:v>0</x:v>
      </x:c>
      <x:c r="G266" s="23" t="str"/>
      <x:c r="H266" s="23" t="n">
        <x:f>IF(G266="",0,LEN(G266&amp;"")-LEN(SUBSTITUTE(G266&amp;"",CHAR(10),""))+1)</x:f>
        <x:v>0</x:v>
      </x:c>
      <x:c r="I266" s="23" t="str"/>
      <x:c r="J266" s="23" t="str">
        <x:v>No developed-article link recorded</x:v>
      </x:c>
      <x:c r="K266" s="23" t="str">
        <x:v>Not inferred</x:v>
      </x:c>
      <x:c r="L266" s="34" t="str">
        <x:v>25744e18ef396d7de1770f122bdd381695a89e35e3bf0657a68c844170fd18b9</x:v>
      </x:c>
      <x:c r="M266" s="32" t="n">
        <x:v>61717</x:v>
      </x:c>
      <x:c r="N266" s="23" t="str">
        <x:v>https://v5ma.github.io/theology-wiki/san-reader.html?page=plato-hermeticism-and-vibration</x:v>
      </x:c>
    </x:row>
    <x:row r="267" ht="56" customHeight="1">
      <x:c r="A267" s="23" t="str">
        <x:v>Platonic Jewish Christianity Framework</x:v>
      </x:c>
      <x:c r="B267" s="23" t="str">
        <x:v>gpt2026dragon1657_Platonic_Jewish_Christianity_Framework.txt</x:v>
      </x:c>
      <x:c r="C267" s="23" t="str">
        <x:v>2025-06-09</x:v>
      </x:c>
      <x:c r="D267" s="23" t="n">
        <x:v>1</x:v>
      </x:c>
      <x:c r="E267" s="23" t="str"/>
      <x:c r="F267" s="23" t="n">
        <x:f>IF(E267="",0,LEN(E267)-LEN(SUBSTITUTE(E267,CHAR(10),""))+1)</x:f>
        <x:v>0</x:v>
      </x:c>
      <x:c r="G267" s="23" t="str"/>
      <x:c r="H267" s="23" t="n">
        <x:f>IF(G267="",0,LEN(G267&amp;"")-LEN(SUBSTITUTE(G267&amp;"",CHAR(10),""))+1)</x:f>
        <x:v>0</x:v>
      </x:c>
      <x:c r="I267" s="23" t="str"/>
      <x:c r="J267" s="23" t="str">
        <x:v>No developed-article link recorded</x:v>
      </x:c>
      <x:c r="K267" s="23" t="str">
        <x:v>Not inferred</x:v>
      </x:c>
      <x:c r="L267" s="34" t="str">
        <x:v>32c6da6c3e4a3305aae078b27022e8315d5f849ae5181491e23298130345a51a</x:v>
      </x:c>
      <x:c r="M267" s="32" t="n">
        <x:v>3273</x:v>
      </x:c>
      <x:c r="N267" s="23" t="str">
        <x:v>https://v5ma.github.io/theology-wiki/san-reader.html?page=platonic-jewish-christianity-framework</x:v>
      </x:c>
    </x:row>
    <x:row r="268" ht="56" customHeight="1">
      <x:c r="A268" s="23" t="str">
        <x:v>Pope Francis and Ukraine</x:v>
      </x:c>
      <x:c r="B268" s="23" t="str">
        <x:v>gpt2026dragon1341_Pope_Francis_and_Ukraine.txt</x:v>
      </x:c>
      <x:c r="C268" s="23" t="str">
        <x:v>2025-04-21</x:v>
      </x:c>
      <x:c r="D268" s="23" t="n">
        <x:v>2</x:v>
      </x:c>
      <x:c r="E268" s="23" t="str"/>
      <x:c r="F268" s="23" t="n">
        <x:f>IF(E268="",0,LEN(E268)-LEN(SUBSTITUTE(E268,CHAR(10),""))+1)</x:f>
        <x:v>0</x:v>
      </x:c>
      <x:c r="G268" s="23" t="str"/>
      <x:c r="H268" s="23" t="n">
        <x:f>IF(G268="",0,LEN(G268&amp;"")-LEN(SUBSTITUTE(G268&amp;"",CHAR(10),""))+1)</x:f>
        <x:v>0</x:v>
      </x:c>
      <x:c r="I268" s="23" t="str"/>
      <x:c r="J268" s="23" t="str">
        <x:v>No developed-article link recorded</x:v>
      </x:c>
      <x:c r="K268" s="23" t="str">
        <x:v>Not inferred</x:v>
      </x:c>
      <x:c r="L268" s="34" t="str">
        <x:v>6f3d8756c8237b7574012e54ca89eaf9b4262cf0b2604cfbc674c624866a4bd9</x:v>
      </x:c>
      <x:c r="M268" s="32" t="n">
        <x:v>1182</x:v>
      </x:c>
      <x:c r="N268" s="23" t="str">
        <x:v>https://v5ma.github.io/theology-wiki/san-reader.html?page=pope-francis-and-ukraine</x:v>
      </x:c>
    </x:row>
    <x:row r="269" ht="56" customHeight="1">
      <x:c r="A269" s="23" t="str">
        <x:v>Pope Leo XIV Criticizes Vance</x:v>
      </x:c>
      <x:c r="B269" s="23" t="str">
        <x:v>gpt2026dragon1520_Pope_Leo_XIV_Criticizes_Vance.txt</x:v>
      </x:c>
      <x:c r="C269" s="23" t="str">
        <x:v>2025-05-18</x:v>
      </x:c>
      <x:c r="D269" s="23" t="n">
        <x:v>103</x:v>
      </x:c>
      <x:c r="E269" s="23" t="str"/>
      <x:c r="F269" s="23" t="n">
        <x:f>IF(E269="",0,LEN(E269)-LEN(SUBSTITUTE(E269,CHAR(10),""))+1)</x:f>
        <x:v>0</x:v>
      </x:c>
      <x:c r="G269" s="23" t="str"/>
      <x:c r="H269" s="23" t="n">
        <x:f>IF(G269="",0,LEN(G269&amp;"")-LEN(SUBSTITUTE(G269&amp;"",CHAR(10),""))+1)</x:f>
        <x:v>0</x:v>
      </x:c>
      <x:c r="I269" s="23" t="str"/>
      <x:c r="J269" s="23" t="str">
        <x:v>No developed-article link recorded</x:v>
      </x:c>
      <x:c r="K269" s="23" t="str">
        <x:v>Not inferred</x:v>
      </x:c>
      <x:c r="L269" s="34" t="str">
        <x:v>1542cbf448df42e0501d6ab39419c65dd87b49503fc189b9dbf505893304b80f</x:v>
      </x:c>
      <x:c r="M269" s="32" t="n">
        <x:v>91253</x:v>
      </x:c>
      <x:c r="N269" s="23" t="str">
        <x:v>https://v5ma.github.io/theology-wiki/san-reader.html?page=pope-leo-xiv-criticizes-vance</x:v>
      </x:c>
    </x:row>
    <x:row r="270" ht="56" customHeight="1">
      <x:c r="A270" s="23" t="str">
        <x:v>Praise Poem Creation</x:v>
      </x:c>
      <x:c r="B270" s="23" t="str">
        <x:v>gpt2026dragon1396_Praise_Poem_Creation.txt</x:v>
      </x:c>
      <x:c r="C270" s="23" t="str">
        <x:v>2025-04-28</x:v>
      </x:c>
      <x:c r="D270" s="23" t="n">
        <x:v>14</x:v>
      </x:c>
      <x:c r="E270" s="23" t="str"/>
      <x:c r="F270" s="23" t="n">
        <x:f>IF(E270="",0,LEN(E270)-LEN(SUBSTITUTE(E270,CHAR(10),""))+1)</x:f>
        <x:v>0</x:v>
      </x:c>
      <x:c r="G270" s="23" t="str"/>
      <x:c r="H270" s="23" t="n">
        <x:f>IF(G270="",0,LEN(G270&amp;"")-LEN(SUBSTITUTE(G270&amp;"",CHAR(10),""))+1)</x:f>
        <x:v>0</x:v>
      </x:c>
      <x:c r="I270" s="23" t="str"/>
      <x:c r="J270" s="23" t="str">
        <x:v>No developed-article link recorded</x:v>
      </x:c>
      <x:c r="K270" s="23" t="str">
        <x:v>Not inferred</x:v>
      </x:c>
      <x:c r="L270" s="34" t="str">
        <x:v>c153cfb16cdb8e416c31b5dfa1e8080bf488b9a0a29539ca0e922098c65674ca</x:v>
      </x:c>
      <x:c r="M270" s="32" t="n">
        <x:v>15978</x:v>
      </x:c>
      <x:c r="N270" s="23" t="str">
        <x:v>https://v5ma.github.io/theology-wiki/san-reader.html?page=praise-poem-creation</x:v>
      </x:c>
    </x:row>
    <x:row r="271" ht="56" customHeight="1">
      <x:c r="A271" s="23" t="str">
        <x:v>Proof of God's existence</x:v>
      </x:c>
      <x:c r="B271" s="23" t="str">
        <x:v>gpt2026dragon2634_Proof_of_God_s_existence.txt</x:v>
      </x:c>
      <x:c r="C271" s="23" t="str">
        <x:v>2025-10-18</x:v>
      </x:c>
      <x:c r="D271" s="23" t="n">
        <x:v>69</x:v>
      </x:c>
      <x:c r="E271" s="23" t="str"/>
      <x:c r="F271" s="23" t="n">
        <x:f>IF(E271="",0,LEN(E271)-LEN(SUBSTITUTE(E271,CHAR(10),""))+1)</x:f>
        <x:v>0</x:v>
      </x:c>
      <x:c r="G271" s="23" t="str"/>
      <x:c r="H271" s="23" t="n">
        <x:f>IF(G271="",0,LEN(G271&amp;"")-LEN(SUBSTITUTE(G271&amp;"",CHAR(10),""))+1)</x:f>
        <x:v>0</x:v>
      </x:c>
      <x:c r="I271" s="23" t="str"/>
      <x:c r="J271" s="23" t="str">
        <x:v>No developed-article link recorded</x:v>
      </x:c>
      <x:c r="K271" s="23" t="str">
        <x:v>Not inferred</x:v>
      </x:c>
      <x:c r="L271" s="34" t="str">
        <x:v>9ee1e46cc211ad1b6270b4d99c8dca5170e2d9e0b56b0ceb5a4a98ed962cc27f</x:v>
      </x:c>
      <x:c r="M271" s="32" t="n">
        <x:v>1103538</x:v>
      </x:c>
      <x:c r="N271" s="23" t="str">
        <x:v>https://v5ma.github.io/theology-wiki/san-reader.html?page=proof-of-god-s-existence</x:v>
      </x:c>
    </x:row>
    <x:row r="272" ht="56" customHeight="1">
      <x:c r="A272" s="23" t="str">
        <x:v>Proof of God's existence</x:v>
      </x:c>
      <x:c r="B272" s="23" t="str">
        <x:v>gpt2026dragon2626_Proof_of_God_s_existence.txt</x:v>
      </x:c>
      <x:c r="C272" s="23" t="str">
        <x:v>2025-10-16</x:v>
      </x:c>
      <x:c r="D272" s="23" t="n">
        <x:v>9</x:v>
      </x:c>
      <x:c r="E272" s="23" t="str"/>
      <x:c r="F272" s="23" t="n">
        <x:f>IF(E272="",0,LEN(E272)-LEN(SUBSTITUTE(E272,CHAR(10),""))+1)</x:f>
        <x:v>0</x:v>
      </x:c>
      <x:c r="G272" s="23" t="str"/>
      <x:c r="H272" s="23" t="n">
        <x:f>IF(G272="",0,LEN(G272&amp;"")-LEN(SUBSTITUTE(G272&amp;"",CHAR(10),""))+1)</x:f>
        <x:v>0</x:v>
      </x:c>
      <x:c r="I272" s="23" t="str"/>
      <x:c r="J272" s="23" t="str">
        <x:v>No developed-article link recorded</x:v>
      </x:c>
      <x:c r="K272" s="23" t="str">
        <x:v>Not inferred</x:v>
      </x:c>
      <x:c r="L272" s="34" t="str">
        <x:v>91a5ee75d4bc11525eb809ec35ace2ad43c2a2eaaa073e0dcd619d55e0950d7f</x:v>
      </x:c>
      <x:c r="M272" s="32" t="n">
        <x:v>35827</x:v>
      </x:c>
      <x:c r="N272" s="23" t="str">
        <x:v>https://v5ma.github.io/theology-wiki/san-reader.html?page=proof-of-god-s-existence-2</x:v>
      </x:c>
    </x:row>
    <x:row r="273" ht="56" customHeight="1">
      <x:c r="A273" s="23" t="str">
        <x:v>Proving Netanyahu's claims</x:v>
      </x:c>
      <x:c r="B273" s="23" t="str">
        <x:v>gpt2026dragon2487_Proving_Netanyahu_s_claims.txt</x:v>
      </x:c>
      <x:c r="C273" s="23" t="str">
        <x:v>2025-09-28</x:v>
      </x:c>
      <x:c r="D273" s="23" t="n">
        <x:v>9</x:v>
      </x:c>
      <x:c r="E273" s="23" t="str"/>
      <x:c r="F273" s="23" t="n">
        <x:f>IF(E273="",0,LEN(E273)-LEN(SUBSTITUTE(E273,CHAR(10),""))+1)</x:f>
        <x:v>0</x:v>
      </x:c>
      <x:c r="G273" s="23" t="str"/>
      <x:c r="H273" s="23" t="n">
        <x:f>IF(G273="",0,LEN(G273&amp;"")-LEN(SUBSTITUTE(G273&amp;"",CHAR(10),""))+1)</x:f>
        <x:v>0</x:v>
      </x:c>
      <x:c r="I273" s="23" t="str"/>
      <x:c r="J273" s="23" t="str">
        <x:v>No developed-article link recorded</x:v>
      </x:c>
      <x:c r="K273" s="23" t="str">
        <x:v>Not inferred</x:v>
      </x:c>
      <x:c r="L273" s="34" t="str">
        <x:v>82c4bd2836dac0ceaa934298df23ac20d6021c3a86e626712117c905db032c3b</x:v>
      </x:c>
      <x:c r="M273" s="32" t="n">
        <x:v>51520</x:v>
      </x:c>
      <x:c r="N273" s="23" t="str">
        <x:v>https://v5ma.github.io/theology-wiki/san-reader.html?page=proving-netanyahu-s-claims</x:v>
      </x:c>
    </x:row>
    <x:row r="274" ht="56" customHeight="1">
      <x:c r="A274" s="23" t="str">
        <x:v>Psychedelic spiritual experiences</x:v>
      </x:c>
      <x:c r="B274" s="23" t="str">
        <x:v>gpt2026dragon2482_Psychedelic_spiritual_experiences.txt</x:v>
      </x:c>
      <x:c r="C274" s="23" t="str">
        <x:v>2025-09-27</x:v>
      </x:c>
      <x:c r="D274" s="23" t="n">
        <x:v>10</x:v>
      </x:c>
      <x:c r="E274" s="23" t="str"/>
      <x:c r="F274" s="23" t="n">
        <x:f>IF(E274="",0,LEN(E274)-LEN(SUBSTITUTE(E274,CHAR(10),""))+1)</x:f>
        <x:v>0</x:v>
      </x:c>
      <x:c r="G274" s="23" t="str"/>
      <x:c r="H274" s="23" t="n">
        <x:f>IF(G274="",0,LEN(G274&amp;"")-LEN(SUBSTITUTE(G274&amp;"",CHAR(10),""))+1)</x:f>
        <x:v>0</x:v>
      </x:c>
      <x:c r="I274" s="23" t="str"/>
      <x:c r="J274" s="23" t="str">
        <x:v>No developed-article link recorded</x:v>
      </x:c>
      <x:c r="K274" s="23" t="str">
        <x:v>Not inferred</x:v>
      </x:c>
      <x:c r="L274" s="34" t="str">
        <x:v>7c787aa5cf053bdced43432b47b736d254ce0be4cd271a276221e4c76073b0d4</x:v>
      </x:c>
      <x:c r="M274" s="32" t="n">
        <x:v>37970</x:v>
      </x:c>
      <x:c r="N274" s="23" t="str">
        <x:v>https://v5ma.github.io/theology-wiki/san-reader.html?page=psychedelic-spiritual-experiences</x:v>
      </x:c>
    </x:row>
    <x:row r="275" ht="56" customHeight="1">
      <x:c r="A275" s="23" t="str">
        <x:v>Publishing Cognitive Gnosticism First</x:v>
      </x:c>
      <x:c r="B275" s="23" t="str">
        <x:v>gpt2026dragon1003_Publishing_Cognitive_Gnosticism_First.txt</x:v>
      </x:c>
      <x:c r="C275" s="23" t="str">
        <x:v>2025-02-26</x:v>
      </x:c>
      <x:c r="D275" s="23" t="n">
        <x:v>3</x:v>
      </x:c>
      <x:c r="E275" s="23" t="str">
        <x:v>cognitive-gnosticism</x:v>
      </x:c>
      <x:c r="F275" s="23" t="n">
        <x:f>IF(E275="",0,LEN(E275)-LEN(SUBSTITUTE(E275,CHAR(10),""))+1)</x:f>
        <x:v>1</x:v>
      </x:c>
      <x:c r="G275" s="23" t="str"/>
      <x:c r="H275" s="23" t="n">
        <x:f>IF(G275="",0,LEN(G275&amp;"")-LEN(SUBSTITUTE(G275&amp;"",CHAR(10),""))+1)</x:f>
        <x:v>0</x:v>
      </x:c>
      <x:c r="I275" s="23" t="str">
        <x:v>gnosis</x:v>
      </x:c>
      <x:c r="J275" s="23" t="str">
        <x:v>Linked to developed article</x:v>
      </x:c>
      <x:c r="K275" s="23" t="str">
        <x:v>Not inferred</x:v>
      </x:c>
      <x:c r="L275" s="34" t="str">
        <x:v>c2e907cb982ad7837f503226782b0ac88b012990348d79ffdbb1b812af4c7da6</x:v>
      </x:c>
      <x:c r="M275" s="32" t="n">
        <x:v>7065</x:v>
      </x:c>
      <x:c r="N275" s="23" t="str">
        <x:v>https://v5ma.github.io/theology-wiki/san-reader.html?page=publishing-cognitive-gnosticism-first</x:v>
      </x:c>
    </x:row>
    <x:row r="276" ht="56" customHeight="1">
      <x:c r="A276" s="23" t="str">
        <x:v>Putin's Global Strategy</x:v>
      </x:c>
      <x:c r="B276" s="23" t="str">
        <x:v>gpt2026dragon938_Putin_s_Global_Strategy.txt</x:v>
      </x:c>
      <x:c r="C276" s="23" t="str">
        <x:v>2025-02-14</x:v>
      </x:c>
      <x:c r="D276" s="23" t="n">
        <x:v>3</x:v>
      </x:c>
      <x:c r="E276" s="23" t="str"/>
      <x:c r="F276" s="23" t="n">
        <x:f>IF(E276="",0,LEN(E276)-LEN(SUBSTITUTE(E276,CHAR(10),""))+1)</x:f>
        <x:v>0</x:v>
      </x:c>
      <x:c r="G276" s="23" t="str"/>
      <x:c r="H276" s="23" t="n">
        <x:f>IF(G276="",0,LEN(G276&amp;"")-LEN(SUBSTITUTE(G276&amp;"",CHAR(10),""))+1)</x:f>
        <x:v>0</x:v>
      </x:c>
      <x:c r="I276" s="23" t="str"/>
      <x:c r="J276" s="23" t="str">
        <x:v>No developed-article link recorded</x:v>
      </x:c>
      <x:c r="K276" s="23" t="str">
        <x:v>Not inferred</x:v>
      </x:c>
      <x:c r="L276" s="34" t="str">
        <x:v>2181625559f1c8b333d6473abcd9903a5894128aa043c480611458f2fae322e5</x:v>
      </x:c>
      <x:c r="M276" s="32" t="n">
        <x:v>7131</x:v>
      </x:c>
      <x:c r="N276" s="23" t="str">
        <x:v>https://v5ma.github.io/theology-wiki/san-reader.html?page=putin-s-global-strategy</x:v>
      </x:c>
    </x:row>
    <x:row r="277" ht="56" customHeight="1">
      <x:c r="A277" s="23" t="str">
        <x:v>QGTCD research mapping</x:v>
      </x:c>
      <x:c r="B277" s="23" t="str">
        <x:v>gpt2026dragon2439_QGTCD_research_mapping.txt</x:v>
      </x:c>
      <x:c r="C277" s="23" t="str">
        <x:v>2025-09-22</x:v>
      </x:c>
      <x:c r="D277" s="23" t="n">
        <x:v>28</x:v>
      </x:c>
      <x:c r="E277" s="23" t="str"/>
      <x:c r="F277" s="23" t="n">
        <x:f>IF(E277="",0,LEN(E277)-LEN(SUBSTITUTE(E277,CHAR(10),""))+1)</x:f>
        <x:v>0</x:v>
      </x:c>
      <x:c r="G277" s="23" t="str"/>
      <x:c r="H277" s="23" t="n">
        <x:f>IF(G277="",0,LEN(G277&amp;"")-LEN(SUBSTITUTE(G277&amp;"",CHAR(10),""))+1)</x:f>
        <x:v>0</x:v>
      </x:c>
      <x:c r="I277" s="23" t="str"/>
      <x:c r="J277" s="23" t="str">
        <x:v>No developed-article link recorded</x:v>
      </x:c>
      <x:c r="K277" s="23" t="str">
        <x:v>Not inferred</x:v>
      </x:c>
      <x:c r="L277" s="34" t="str">
        <x:v>5cc854c1340c69d41b61f47ed09f2b6b0b6af64c672d8f986d8d82162caa95f6</x:v>
      </x:c>
      <x:c r="M277" s="32" t="n">
        <x:v>577069</x:v>
      </x:c>
      <x:c r="N277" s="23" t="str">
        <x:v>https://v5ma.github.io/theology-wiki/san-reader.html?page=qgtcd-research-mapping</x:v>
      </x:c>
    </x:row>
    <x:row r="278" ht="56" customHeight="1">
      <x:c r="A278" s="23" t="str">
        <x:v>Quantum Entanglement and Communication</x:v>
      </x:c>
      <x:c r="B278" s="23" t="str">
        <x:v>gpt2026dragon1636_Quantum_Entanglement_and_Communication.txt</x:v>
      </x:c>
      <x:c r="C278" s="23" t="str">
        <x:v>2025-06-05</x:v>
      </x:c>
      <x:c r="D278" s="23" t="n">
        <x:v>15</x:v>
      </x:c>
      <x:c r="E278" s="23" t="str"/>
      <x:c r="F278" s="23" t="n">
        <x:f>IF(E278="",0,LEN(E278)-LEN(SUBSTITUTE(E278,CHAR(10),""))+1)</x:f>
        <x:v>0</x:v>
      </x:c>
      <x:c r="G278" s="23" t="str"/>
      <x:c r="H278" s="23" t="n">
        <x:f>IF(G278="",0,LEN(G278&amp;"")-LEN(SUBSTITUTE(G278&amp;"",CHAR(10),""))+1)</x:f>
        <x:v>0</x:v>
      </x:c>
      <x:c r="I278" s="23" t="str"/>
      <x:c r="J278" s="23" t="str">
        <x:v>No developed-article link recorded</x:v>
      </x:c>
      <x:c r="K278" s="23" t="str">
        <x:v>Not inferred</x:v>
      </x:c>
      <x:c r="L278" s="34" t="str">
        <x:v>e8df40eaae3b218db4d561d0fe7466ae23a1cdebc8482530ff1f53ce9069346d</x:v>
      </x:c>
      <x:c r="M278" s="32" t="n">
        <x:v>28430</x:v>
      </x:c>
      <x:c r="N278" s="23" t="str">
        <x:v>https://v5ma.github.io/theology-wiki/san-reader.html?page=quantum-entanglement-and-communication</x:v>
      </x:c>
    </x:row>
    <x:row r="279" ht="56" customHeight="1">
      <x:c r="A279" s="23" t="str">
        <x:v>Quantum Time Solution: Hubble</x:v>
      </x:c>
      <x:c r="B279" s="23" t="str">
        <x:v>gpt2026dragon102_Quantum_Time_Solution_Hubble.txt</x:v>
      </x:c>
      <x:c r="C279" s="23" t="str">
        <x:v>2024-05-20</x:v>
      </x:c>
      <x:c r="D279" s="23" t="n">
        <x:v>3</x:v>
      </x:c>
      <x:c r="E279" s="23" t="str"/>
      <x:c r="F279" s="23" t="n">
        <x:f>IF(E279="",0,LEN(E279)-LEN(SUBSTITUTE(E279,CHAR(10),""))+1)</x:f>
        <x:v>0</x:v>
      </x:c>
      <x:c r="G279" s="23" t="str"/>
      <x:c r="H279" s="23" t="n">
        <x:f>IF(G279="",0,LEN(G279&amp;"")-LEN(SUBSTITUTE(G279&amp;"",CHAR(10),""))+1)</x:f>
        <x:v>0</x:v>
      </x:c>
      <x:c r="I279" s="23" t="str"/>
      <x:c r="J279" s="23" t="str">
        <x:v>No developed-article link recorded</x:v>
      </x:c>
      <x:c r="K279" s="23" t="str">
        <x:v>Not inferred</x:v>
      </x:c>
      <x:c r="L279" s="34" t="str">
        <x:v>983825066d2a6120f64b134358b3333f60d6de46a9800441e4b226647d08643e</x:v>
      </x:c>
      <x:c r="M279" s="32" t="n">
        <x:v>47372</x:v>
      </x:c>
      <x:c r="N279" s="23" t="str">
        <x:v>https://v5ma.github.io/theology-wiki/san-reader.html?page=quantum-time-solution-hubble</x:v>
      </x:c>
    </x:row>
    <x:row r="280" ht="56" customHeight="1">
      <x:c r="A280" s="23" t="str">
        <x:v>Qumran messianic figures</x:v>
      </x:c>
      <x:c r="B280" s="23" t="str">
        <x:v>gpt2026dragon2691_Qumran_messianic_figures.txt</x:v>
      </x:c>
      <x:c r="C280" s="23" t="str">
        <x:v>2025-10-27</x:v>
      </x:c>
      <x:c r="D280" s="23" t="n">
        <x:v>20</x:v>
      </x:c>
      <x:c r="E280" s="23" t="str"/>
      <x:c r="F280" s="23" t="n">
        <x:f>IF(E280="",0,LEN(E280)-LEN(SUBSTITUTE(E280,CHAR(10),""))+1)</x:f>
        <x:v>0</x:v>
      </x:c>
      <x:c r="G280" s="23" t="str"/>
      <x:c r="H280" s="23" t="n">
        <x:f>IF(G280="",0,LEN(G280&amp;"")-LEN(SUBSTITUTE(G280&amp;"",CHAR(10),""))+1)</x:f>
        <x:v>0</x:v>
      </x:c>
      <x:c r="I280" s="23" t="str"/>
      <x:c r="J280" s="23" t="str">
        <x:v>No developed-article link recorded</x:v>
      </x:c>
      <x:c r="K280" s="23" t="str">
        <x:v>Not inferred</x:v>
      </x:c>
      <x:c r="L280" s="34" t="str">
        <x:v>d1c9b400af5b5b0bbfa88c8582e5bc80e01bf099f954823132f5a442ed441073</x:v>
      </x:c>
      <x:c r="M280" s="32" t="n">
        <x:v>22595</x:v>
      </x:c>
      <x:c r="N280" s="23" t="str">
        <x:v>https://v5ma.github.io/theology-wiki/san-reader.html?page=qumran-messianic-figures</x:v>
      </x:c>
    </x:row>
    <x:row r="281" ht="56" customHeight="1">
      <x:c r="A281" s="23" t="str">
        <x:v>Qumran Survival Theory</x:v>
      </x:c>
      <x:c r="B281" s="23" t="str">
        <x:v>gpt2026dragon599_Qumran_Survival_Theory.txt</x:v>
      </x:c>
      <x:c r="C281" s="23" t="str">
        <x:v>2024-12-30</x:v>
      </x:c>
      <x:c r="D281" s="23" t="n">
        <x:v>3</x:v>
      </x:c>
      <x:c r="E281" s="23" t="str"/>
      <x:c r="F281" s="23" t="n">
        <x:f>IF(E281="",0,LEN(E281)-LEN(SUBSTITUTE(E281,CHAR(10),""))+1)</x:f>
        <x:v>0</x:v>
      </x:c>
      <x:c r="G281" s="23" t="str"/>
      <x:c r="H281" s="23" t="n">
        <x:f>IF(G281="",0,LEN(G281&amp;"")-LEN(SUBSTITUTE(G281&amp;"",CHAR(10),""))+1)</x:f>
        <x:v>0</x:v>
      </x:c>
      <x:c r="I281" s="23" t="str"/>
      <x:c r="J281" s="23" t="str">
        <x:v>No developed-article link recorded</x:v>
      </x:c>
      <x:c r="K281" s="23" t="str">
        <x:v>Not inferred</x:v>
      </x:c>
      <x:c r="L281" s="34" t="str">
        <x:v>fd30db20ad225c3bb9b849fd7a325260429f3c89b74e6a7bc210a847f1b91127</x:v>
      </x:c>
      <x:c r="M281" s="32" t="n">
        <x:v>5244</x:v>
      </x:c>
      <x:c r="N281" s="23" t="str">
        <x:v>https://v5ma.github.io/theology-wiki/san-reader.html?page=qumran-survival-theory</x:v>
      </x:c>
    </x:row>
    <x:row r="282" ht="56" customHeight="1">
      <x:c r="A282" s="23" t="str">
        <x:v>Qumran Text History</x:v>
      </x:c>
      <x:c r="B282" s="23" t="str">
        <x:v>gpt2026dragon848_Qumran_Text_History.txt</x:v>
      </x:c>
      <x:c r="C282" s="23" t="str">
        <x:v>2025-02-03</x:v>
      </x:c>
      <x:c r="D282" s="23" t="n">
        <x:v>3</x:v>
      </x:c>
      <x:c r="E282" s="23" t="str"/>
      <x:c r="F282" s="23" t="n">
        <x:f>IF(E282="",0,LEN(E282)-LEN(SUBSTITUTE(E282,CHAR(10),""))+1)</x:f>
        <x:v>0</x:v>
      </x:c>
      <x:c r="G282" s="23" t="str"/>
      <x:c r="H282" s="23" t="n">
        <x:f>IF(G282="",0,LEN(G282&amp;"")-LEN(SUBSTITUTE(G282&amp;"",CHAR(10),""))+1)</x:f>
        <x:v>0</x:v>
      </x:c>
      <x:c r="I282" s="23" t="str"/>
      <x:c r="J282" s="23" t="str">
        <x:v>No developed-article link recorded</x:v>
      </x:c>
      <x:c r="K282" s="23" t="str">
        <x:v>Not inferred</x:v>
      </x:c>
      <x:c r="L282" s="34" t="str">
        <x:v>2df9d8e6ba8fa6eb84d876a39c7fb22f292c1e976e8fe8d7db8ac52d61963c6c</x:v>
      </x:c>
      <x:c r="M282" s="32" t="n">
        <x:v>5693</x:v>
      </x:c>
      <x:c r="N282" s="23" t="str">
        <x:v>https://v5ma.github.io/theology-wiki/san-reader.html?page=qumran-text-history</x:v>
      </x:c>
    </x:row>
    <x:row r="283" ht="56" customHeight="1">
      <x:c r="A283" s="23" t="str">
        <x:v>Quote authenticity check</x:v>
      </x:c>
      <x:c r="B283" s="23" t="str">
        <x:v>gpt2026dragon2054_Quote_authenticity_check.txt</x:v>
      </x:c>
      <x:c r="C283" s="23" t="str">
        <x:v>2025-08-07</x:v>
      </x:c>
      <x:c r="D283" s="23" t="n">
        <x:v>20</x:v>
      </x:c>
      <x:c r="E283" s="23" t="str"/>
      <x:c r="F283" s="23" t="n">
        <x:f>IF(E283="",0,LEN(E283)-LEN(SUBSTITUTE(E283,CHAR(10),""))+1)</x:f>
        <x:v>0</x:v>
      </x:c>
      <x:c r="G283" s="23" t="str"/>
      <x:c r="H283" s="23" t="n">
        <x:f>IF(G283="",0,LEN(G283&amp;"")-LEN(SUBSTITUTE(G283&amp;"",CHAR(10),""))+1)</x:f>
        <x:v>0</x:v>
      </x:c>
      <x:c r="I283" s="23" t="str"/>
      <x:c r="J283" s="23" t="str">
        <x:v>No developed-article link recorded</x:v>
      </x:c>
      <x:c r="K283" s="23" t="str">
        <x:v>Not inferred</x:v>
      </x:c>
      <x:c r="L283" s="34" t="str">
        <x:v>ca55a7f2ea72aa8391f8eebdb68bac43f6ffc79c60b5ade911ee95b16e902517</x:v>
      </x:c>
      <x:c r="M283" s="32" t="n">
        <x:v>38468</x:v>
      </x:c>
      <x:c r="N283" s="23" t="str">
        <x:v>https://v5ma.github.io/theology-wiki/san-reader.html?page=quote-authenticity-check</x:v>
      </x:c>
    </x:row>
    <x:row r="284" ht="56" customHeight="1">
      <x:c r="A284" s="23" t="str">
        <x:v>RATM and Gnosticism Comparison</x:v>
      </x:c>
      <x:c r="B284" s="23" t="str">
        <x:v>gpt2026dragon857_RATM_and_Gnosticism_Comparison.txt</x:v>
      </x:c>
      <x:c r="C284" s="23" t="str">
        <x:v>2025-02-04</x:v>
      </x:c>
      <x:c r="D284" s="23" t="n">
        <x:v>2</x:v>
      </x:c>
      <x:c r="E284" s="23" t="str"/>
      <x:c r="F284" s="23" t="n">
        <x:f>IF(E284="",0,LEN(E284)-LEN(SUBSTITUTE(E284,CHAR(10),""))+1)</x:f>
        <x:v>0</x:v>
      </x:c>
      <x:c r="G284" s="23" t="str"/>
      <x:c r="H284" s="23" t="n">
        <x:f>IF(G284="",0,LEN(G284&amp;"")-LEN(SUBSTITUTE(G284&amp;"",CHAR(10),""))+1)</x:f>
        <x:v>0</x:v>
      </x:c>
      <x:c r="I284" s="23" t="str"/>
      <x:c r="J284" s="23" t="str">
        <x:v>No developed-article link recorded</x:v>
      </x:c>
      <x:c r="K284" s="23" t="str">
        <x:v>Not inferred</x:v>
      </x:c>
      <x:c r="L284" s="34" t="str">
        <x:v>8b5d0aaf03ccac95490035c49aa45971e0d7c18742a90a2c48ced511e299bbaa</x:v>
      </x:c>
      <x:c r="M284" s="32" t="n">
        <x:v>3039</x:v>
      </x:c>
      <x:c r="N284" s="23" t="str">
        <x:v>https://v5ma.github.io/theology-wiki/san-reader.html?page=ratm-and-gnosticism-comparison</x:v>
      </x:c>
    </x:row>
    <x:row r="285" ht="56" customHeight="1">
      <x:c r="A285" s="23" t="str">
        <x:v>Reddit Group Search</x:v>
      </x:c>
      <x:c r="B285" s="23" t="str">
        <x:v>gpt2026dragon1218_Reddit_Group_Search.txt</x:v>
      </x:c>
      <x:c r="C285" s="23" t="str">
        <x:v>2025-03-26</x:v>
      </x:c>
      <x:c r="D285" s="23" t="n">
        <x:v>14</x:v>
      </x:c>
      <x:c r="E285" s="23" t="str"/>
      <x:c r="F285" s="23" t="n">
        <x:f>IF(E285="",0,LEN(E285)-LEN(SUBSTITUTE(E285,CHAR(10),""))+1)</x:f>
        <x:v>0</x:v>
      </x:c>
      <x:c r="G285" s="23" t="str"/>
      <x:c r="H285" s="23" t="n">
        <x:f>IF(G285="",0,LEN(G285&amp;"")-LEN(SUBSTITUTE(G285&amp;"",CHAR(10),""))+1)</x:f>
        <x:v>0</x:v>
      </x:c>
      <x:c r="I285" s="23" t="str"/>
      <x:c r="J285" s="23" t="str">
        <x:v>No developed-article link recorded</x:v>
      </x:c>
      <x:c r="K285" s="23" t="str">
        <x:v>Not inferred</x:v>
      </x:c>
      <x:c r="L285" s="34" t="str">
        <x:v>ed21d66c278648b9ea440af28d52af671875981807d294b13df3b5ca9b0eac28</x:v>
      </x:c>
      <x:c r="M285" s="32" t="n">
        <x:v>104855</x:v>
      </x:c>
      <x:c r="N285" s="23" t="str">
        <x:v>https://v5ma.github.io/theology-wiki/san-reader.html?page=reddit-group-search</x:v>
      </x:c>
    </x:row>
    <x:row r="286" ht="56" customHeight="1">
      <x:c r="A286" s="23" t="str">
        <x:v>Rephrase conjecture on genocide</x:v>
      </x:c>
      <x:c r="B286" s="23" t="str">
        <x:v>gpt2026dragon2755_Rephrase_conjecture_on_genocide.txt</x:v>
      </x:c>
      <x:c r="C286" s="23" t="str">
        <x:v>2025-11-11</x:v>
      </x:c>
      <x:c r="D286" s="23" t="n">
        <x:v>2</x:v>
      </x:c>
      <x:c r="E286" s="23" t="str"/>
      <x:c r="F286" s="23" t="n">
        <x:f>IF(E286="",0,LEN(E286)-LEN(SUBSTITUTE(E286,CHAR(10),""))+1)</x:f>
        <x:v>0</x:v>
      </x:c>
      <x:c r="G286" s="23" t="str"/>
      <x:c r="H286" s="23" t="n">
        <x:f>IF(G286="",0,LEN(G286&amp;"")-LEN(SUBSTITUTE(G286&amp;"",CHAR(10),""))+1)</x:f>
        <x:v>0</x:v>
      </x:c>
      <x:c r="I286" s="23" t="str"/>
      <x:c r="J286" s="23" t="str">
        <x:v>No developed-article link recorded</x:v>
      </x:c>
      <x:c r="K286" s="23" t="str">
        <x:v>Not inferred</x:v>
      </x:c>
      <x:c r="L286" s="34" t="str">
        <x:v>5b703a0ac7ebce831371e7bde139134ab608000c7376be5df9179ce9771d10cc</x:v>
      </x:c>
      <x:c r="M286" s="32" t="n">
        <x:v>2577</x:v>
      </x:c>
      <x:c r="N286" s="23" t="str">
        <x:v>https://v5ma.github.io/theology-wiki/san-reader.html?page=rephrase-conjecture-on-genocide</x:v>
      </x:c>
    </x:row>
    <x:row r="287" ht="56" customHeight="1">
      <x:c r="A287" s="23" t="str">
        <x:v>Research on lineage descent</x:v>
      </x:c>
      <x:c r="B287" s="23" t="str">
        <x:v>gpt2026dragon2663_Research_on_lineage_descent.txt</x:v>
      </x:c>
      <x:c r="C287" s="23" t="str">
        <x:v>2025-10-20</x:v>
      </x:c>
      <x:c r="D287" s="23" t="n">
        <x:v>11</x:v>
      </x:c>
      <x:c r="E287" s="23" t="str"/>
      <x:c r="F287" s="23" t="n">
        <x:f>IF(E287="",0,LEN(E287)-LEN(SUBSTITUTE(E287,CHAR(10),""))+1)</x:f>
        <x:v>0</x:v>
      </x:c>
      <x:c r="G287" s="23" t="str"/>
      <x:c r="H287" s="23" t="n">
        <x:f>IF(G287="",0,LEN(G287&amp;"")-LEN(SUBSTITUTE(G287&amp;"",CHAR(10),""))+1)</x:f>
        <x:v>0</x:v>
      </x:c>
      <x:c r="I287" s="23" t="str"/>
      <x:c r="J287" s="23" t="str">
        <x:v>No developed-article link recorded</x:v>
      </x:c>
      <x:c r="K287" s="23" t="str">
        <x:v>Not inferred</x:v>
      </x:c>
      <x:c r="L287" s="34" t="str">
        <x:v>cbfafd1e5e922d99817b5b2fa67084bfff1541e07ab44e22136fb84322f22b08</x:v>
      </x:c>
      <x:c r="M287" s="32" t="n">
        <x:v>29768</x:v>
      </x:c>
      <x:c r="N287" s="23" t="str">
        <x:v>https://v5ma.github.io/theology-wiki/san-reader.html?page=research-on-lineage-descent</x:v>
      </x:c>
    </x:row>
    <x:row r="288" ht="56" customHeight="1">
      <x:c r="A288" s="23" t="str">
        <x:v>Resurrection Debate in Christianity</x:v>
      </x:c>
      <x:c r="B288" s="23" t="str">
        <x:v>gpt2026dragon1642_Resurrection_Debate_in_Christianity.txt</x:v>
      </x:c>
      <x:c r="C288" s="23" t="str">
        <x:v>2025-06-08</x:v>
      </x:c>
      <x:c r="D288" s="23" t="n">
        <x:v>14</x:v>
      </x:c>
      <x:c r="E288" s="23" t="str">
        <x:v>divine-will-and-self-authorizing-power</x:v>
      </x:c>
      <x:c r="F288" s="23" t="n">
        <x:f>IF(E288="",0,LEN(E288)-LEN(SUBSTITUTE(E288,CHAR(10),""))+1)</x:f>
        <x:v>1</x:v>
      </x:c>
      <x:c r="G288" s="23" t="str">
        <x:v>Turn 9
Turn 11</x:v>
      </x:c>
      <x:c r="H288" s="23" t="n">
        <x:f>IF(G288="",0,LEN(G288&amp;"")-LEN(SUBSTITUTE(G288&amp;"",CHAR(10),""))+1)</x:f>
        <x:v>2</x:v>
      </x:c>
      <x:c r="I288" s="23" t="str">
        <x:v>inner-model
will</x:v>
      </x:c>
      <x:c r="J288" s="23" t="str">
        <x:v>Linked to developed article</x:v>
      </x:c>
      <x:c r="K288" s="23" t="str">
        <x:v>Not inferred</x:v>
      </x:c>
      <x:c r="L288" s="34" t="str">
        <x:v>8f7f2eb14acb47e0854ad8eab4ac977431164e1f6cce29e9c7784c4b57f5995d</x:v>
      </x:c>
      <x:c r="M288" s="32" t="n">
        <x:v>36754</x:v>
      </x:c>
      <x:c r="N288" s="23" t="str">
        <x:v>https://v5ma.github.io/theology-wiki/san-reader.html?page=resurrection-debate-in-christianity</x:v>
      </x:c>
    </x:row>
    <x:row r="289" ht="56" customHeight="1">
      <x:c r="A289" s="23" t="str">
        <x:v>Revelation 6:7 meaning</x:v>
      </x:c>
      <x:c r="B289" s="23" t="str">
        <x:v>gpt2026dragon2668_Revelation_6_7_meaning.txt</x:v>
      </x:c>
      <x:c r="C289" s="23" t="str">
        <x:v>2025-10-21</x:v>
      </x:c>
      <x:c r="D289" s="23" t="n">
        <x:v>14</x:v>
      </x:c>
      <x:c r="E289" s="23" t="str"/>
      <x:c r="F289" s="23" t="n">
        <x:f>IF(E289="",0,LEN(E289)-LEN(SUBSTITUTE(E289,CHAR(10),""))+1)</x:f>
        <x:v>0</x:v>
      </x:c>
      <x:c r="G289" s="23" t="str"/>
      <x:c r="H289" s="23" t="n">
        <x:f>IF(G289="",0,LEN(G289&amp;"")-LEN(SUBSTITUTE(G289&amp;"",CHAR(10),""))+1)</x:f>
        <x:v>0</x:v>
      </x:c>
      <x:c r="I289" s="23" t="str"/>
      <x:c r="J289" s="23" t="str">
        <x:v>No developed-article link recorded</x:v>
      </x:c>
      <x:c r="K289" s="23" t="str">
        <x:v>Not inferred</x:v>
      </x:c>
      <x:c r="L289" s="34" t="str">
        <x:v>e3c49809d922547f5e699d9679c224070a2af79f9fc5506d573391ba798f45af</x:v>
      </x:c>
      <x:c r="M289" s="32" t="n">
        <x:v>18618</x:v>
      </x:c>
      <x:c r="N289" s="23" t="str">
        <x:v>https://v5ma.github.io/theology-wiki/san-reader.html?page=revelation-6-7-meaning</x:v>
      </x:c>
    </x:row>
    <x:row r="290" ht="56" customHeight="1">
      <x:c r="A290" s="23" t="str">
        <x:v>Revelation and Montanism</x:v>
      </x:c>
      <x:c r="B290" s="23" t="str">
        <x:v>gpt2026dragon605_Revelation_and_Montanism.txt</x:v>
      </x:c>
      <x:c r="C290" s="23" t="str">
        <x:v>2024-12-31</x:v>
      </x:c>
      <x:c r="D290" s="23" t="n">
        <x:v>1</x:v>
      </x:c>
      <x:c r="E290" s="23" t="str"/>
      <x:c r="F290" s="23" t="n">
        <x:f>IF(E290="",0,LEN(E290)-LEN(SUBSTITUTE(E290,CHAR(10),""))+1)</x:f>
        <x:v>0</x:v>
      </x:c>
      <x:c r="G290" s="23" t="str"/>
      <x:c r="H290" s="23" t="n">
        <x:f>IF(G290="",0,LEN(G290&amp;"")-LEN(SUBSTITUTE(G290&amp;"",CHAR(10),""))+1)</x:f>
        <x:v>0</x:v>
      </x:c>
      <x:c r="I290" s="23" t="str"/>
      <x:c r="J290" s="23" t="str">
        <x:v>No developed-article link recorded</x:v>
      </x:c>
      <x:c r="K290" s="23" t="str">
        <x:v>Not inferred</x:v>
      </x:c>
      <x:c r="L290" s="34" t="str">
        <x:v>c4ad6f813a35025aebaa2569f7960763fbafc7ce0430a666af6dd8f0a4f3b82b</x:v>
      </x:c>
      <x:c r="M290" s="32" t="n">
        <x:v>6416</x:v>
      </x:c>
      <x:c r="N290" s="23" t="str">
        <x:v>https://v5ma.github.io/theology-wiki/san-reader.html?page=revelation-and-montanism</x:v>
      </x:c>
    </x:row>
    <x:row r="291" ht="56" customHeight="1">
      <x:c r="A291" s="23" t="str">
        <x:v>Revelation and Symbolic Language</x:v>
      </x:c>
      <x:c r="B291" s="23" t="str">
        <x:v>gpt2026dragon1110_Revelation_and_Symbolic_Language.txt</x:v>
      </x:c>
      <x:c r="C291" s="23" t="str">
        <x:v>2025-03-18</x:v>
      </x:c>
      <x:c r="D291" s="23" t="n">
        <x:v>26</x:v>
      </x:c>
      <x:c r="E291" s="23" t="str"/>
      <x:c r="F291" s="23" t="n">
        <x:f>IF(E291="",0,LEN(E291)-LEN(SUBSTITUTE(E291,CHAR(10),""))+1)</x:f>
        <x:v>0</x:v>
      </x:c>
      <x:c r="G291" s="23" t="str"/>
      <x:c r="H291" s="23" t="n">
        <x:f>IF(G291="",0,LEN(G291&amp;"")-LEN(SUBSTITUTE(G291&amp;"",CHAR(10),""))+1)</x:f>
        <x:v>0</x:v>
      </x:c>
      <x:c r="I291" s="23" t="str"/>
      <x:c r="J291" s="23" t="str">
        <x:v>No developed-article link recorded</x:v>
      </x:c>
      <x:c r="K291" s="23" t="str">
        <x:v>Not inferred</x:v>
      </x:c>
      <x:c r="L291" s="34" t="str">
        <x:v>de5996325db8bed8d2fd149a4133829ddbbae1455069d62f00b68d5722e2c643</x:v>
      </x:c>
      <x:c r="M291" s="32" t="n">
        <x:v>75933</x:v>
      </x:c>
      <x:c r="N291" s="23" t="str">
        <x:v>https://v5ma.github.io/theology-wiki/san-reader.html?page=revelation-and-symbolic-language</x:v>
      </x:c>
    </x:row>
    <x:row r="292" ht="56" customHeight="1">
      <x:c r="A292" s="23" t="str">
        <x:v>Revelation Interpretation and America</x:v>
      </x:c>
      <x:c r="B292" s="23" t="str">
        <x:v>gpt2026dragon3051_Revelation_Interpretation_and_America.txt</x:v>
      </x:c>
      <x:c r="C292" s="23" t="str">
        <x:v>2026-01-30</x:v>
      </x:c>
      <x:c r="D292" s="23" t="n">
        <x:v>49</x:v>
      </x:c>
      <x:c r="E292" s="23" t="str">
        <x:v>trump-first-beast-of-revelation
ukraine-russia-forecast-record</x:v>
      </x:c>
      <x:c r="F292" s="23" t="n">
        <x:f>IF(E292="",0,LEN(E292)-LEN(SUBSTITUTE(E292,CHAR(10),""))+1)</x:f>
        <x:v>2</x:v>
      </x:c>
      <x:c r="G292" s="23" t="str"/>
      <x:c r="H292" s="23" t="n">
        <x:f>IF(G292="",0,LEN(G292&amp;"")-LEN(SUBSTITUTE(G292&amp;"",CHAR(10),""))+1)</x:f>
        <x:v>0</x:v>
      </x:c>
      <x:c r="I292" s="23" t="str">
        <x:v>beast
warnings</x:v>
      </x:c>
      <x:c r="J292" s="23" t="str">
        <x:v>Linked to developed article</x:v>
      </x:c>
      <x:c r="K292" s="23" t="str">
        <x:v>Not inferred</x:v>
      </x:c>
      <x:c r="L292" s="34" t="str">
        <x:v>af431f5f3019577b92311c103ec7bae76b1f5fb79b32a504808c9c1b06f43140</x:v>
      </x:c>
      <x:c r="M292" s="32" t="n">
        <x:v>379666</x:v>
      </x:c>
      <x:c r="N292" s="23" t="str">
        <x:v>https://v5ma.github.io/theology-wiki/san-reader.html?page=revelation-interpretation-and-america</x:v>
      </x:c>
    </x:row>
    <x:row r="293" ht="56" customHeight="1">
      <x:c r="A293" s="23" t="str">
        <x:v>Revelation Seal Opening Clarification</x:v>
      </x:c>
      <x:c r="B293" s="23" t="str">
        <x:v>gpt2026dragon1602_Revelation_Seal_Opening_Clarification.txt</x:v>
      </x:c>
      <x:c r="C293" s="23" t="str">
        <x:v>2025-06-01</x:v>
      </x:c>
      <x:c r="D293" s="23" t="n">
        <x:v>12</x:v>
      </x:c>
      <x:c r="E293" s="23" t="str"/>
      <x:c r="F293" s="23" t="n">
        <x:f>IF(E293="",0,LEN(E293)-LEN(SUBSTITUTE(E293,CHAR(10),""))+1)</x:f>
        <x:v>0</x:v>
      </x:c>
      <x:c r="G293" s="23" t="str"/>
      <x:c r="H293" s="23" t="n">
        <x:f>IF(G293="",0,LEN(G293&amp;"")-LEN(SUBSTITUTE(G293&amp;"",CHAR(10),""))+1)</x:f>
        <x:v>0</x:v>
      </x:c>
      <x:c r="I293" s="23" t="str"/>
      <x:c r="J293" s="23" t="str">
        <x:v>No developed-article link recorded</x:v>
      </x:c>
      <x:c r="K293" s="23" t="str">
        <x:v>Not inferred</x:v>
      </x:c>
      <x:c r="L293" s="34" t="str">
        <x:v>c599a688d325be0d7d2e9ff2c6564fc3ec931e3cfabdf9e9065b172def638917</x:v>
      </x:c>
      <x:c r="M293" s="32" t="n">
        <x:v>11216</x:v>
      </x:c>
      <x:c r="N293" s="23" t="str">
        <x:v>https://v5ma.github.io/theology-wiki/san-reader.html?page=revelation-seal-opening-clarification</x:v>
      </x:c>
    </x:row>
    <x:row r="294" ht="56" customHeight="1">
      <x:c r="A294" s="23" t="str">
        <x:v>Revelation Throne Inquiry</x:v>
      </x:c>
      <x:c r="B294" s="23" t="str">
        <x:v>gpt2026dragon1580_Revelation_Throne_Inquiry.txt</x:v>
      </x:c>
      <x:c r="C294" s="23" t="str">
        <x:v>2025-05-28</x:v>
      </x:c>
      <x:c r="D294" s="23" t="n">
        <x:v>6</x:v>
      </x:c>
      <x:c r="E294" s="23" t="str"/>
      <x:c r="F294" s="23" t="n">
        <x:f>IF(E294="",0,LEN(E294)-LEN(SUBSTITUTE(E294,CHAR(10),""))+1)</x:f>
        <x:v>0</x:v>
      </x:c>
      <x:c r="G294" s="23" t="str"/>
      <x:c r="H294" s="23" t="n">
        <x:f>IF(G294="",0,LEN(G294&amp;"")-LEN(SUBSTITUTE(G294&amp;"",CHAR(10),""))+1)</x:f>
        <x:v>0</x:v>
      </x:c>
      <x:c r="I294" s="23" t="str"/>
      <x:c r="J294" s="23" t="str">
        <x:v>No developed-article link recorded</x:v>
      </x:c>
      <x:c r="K294" s="23" t="str">
        <x:v>Not inferred</x:v>
      </x:c>
      <x:c r="L294" s="34" t="str">
        <x:v>7ca3cc439cbc6ae123717bac31a225a0957c2a3e78766dc1d793e541effe4076</x:v>
      </x:c>
      <x:c r="M294" s="32" t="n">
        <x:v>6294</x:v>
      </x:c>
      <x:c r="N294" s="23" t="str">
        <x:v>https://v5ma.github.io/theology-wiki/san-reader.html?page=revelation-throne-inquiry</x:v>
      </x:c>
    </x:row>
    <x:row r="295" ht="56" customHeight="1">
      <x:c r="A295" s="23" t="str">
        <x:v>Roy Casagranda Critique</x:v>
      </x:c>
      <x:c r="B295" s="23" t="str">
        <x:v>gpt2026dragon587_Roy_Casagranda_Critique.txt</x:v>
      </x:c>
      <x:c r="C295" s="23" t="str">
        <x:v>2024-12-29</x:v>
      </x:c>
      <x:c r="D295" s="23" t="n">
        <x:v>21</x:v>
      </x:c>
      <x:c r="E295" s="23" t="str"/>
      <x:c r="F295" s="23" t="n">
        <x:f>IF(E295="",0,LEN(E295)-LEN(SUBSTITUTE(E295,CHAR(10),""))+1)</x:f>
        <x:v>0</x:v>
      </x:c>
      <x:c r="G295" s="23" t="str"/>
      <x:c r="H295" s="23" t="n">
        <x:f>IF(G295="",0,LEN(G295&amp;"")-LEN(SUBSTITUTE(G295&amp;"",CHAR(10),""))+1)</x:f>
        <x:v>0</x:v>
      </x:c>
      <x:c r="I295" s="23" t="str"/>
      <x:c r="J295" s="23" t="str">
        <x:v>No developed-article link recorded</x:v>
      </x:c>
      <x:c r="K295" s="23" t="str">
        <x:v>Not inferred</x:v>
      </x:c>
      <x:c r="L295" s="34" t="str">
        <x:v>887f766540303365bac7b4dd5442654a43905e9cbd31ec2df9c423129642a244</x:v>
      </x:c>
      <x:c r="M295" s="32" t="n">
        <x:v>53173</x:v>
      </x:c>
      <x:c r="N295" s="23" t="str">
        <x:v>https://v5ma.github.io/theology-wiki/san-reader.html?page=roy-casagranda-critique</x:v>
      </x:c>
    </x:row>
    <x:row r="296" ht="56" customHeight="1">
      <x:c r="A296" s="23" t="str">
        <x:v>Russian aliyah impact</x:v>
      </x:c>
      <x:c r="B296" s="23" t="str">
        <x:v>gpt2026dragon2805_Russian_aliyah_impact.txt</x:v>
      </x:c>
      <x:c r="C296" s="23" t="str">
        <x:v>2025-11-25</x:v>
      </x:c>
      <x:c r="D296" s="23" t="n">
        <x:v>3</x:v>
      </x:c>
      <x:c r="E296" s="23" t="str"/>
      <x:c r="F296" s="23" t="n">
        <x:f>IF(E296="",0,LEN(E296)-LEN(SUBSTITUTE(E296,CHAR(10),""))+1)</x:f>
        <x:v>0</x:v>
      </x:c>
      <x:c r="G296" s="23" t="str"/>
      <x:c r="H296" s="23" t="n">
        <x:f>IF(G296="",0,LEN(G296&amp;"")-LEN(SUBSTITUTE(G296&amp;"",CHAR(10),""))+1)</x:f>
        <x:v>0</x:v>
      </x:c>
      <x:c r="I296" s="23" t="str"/>
      <x:c r="J296" s="23" t="str">
        <x:v>No developed-article link recorded</x:v>
      </x:c>
      <x:c r="K296" s="23" t="str">
        <x:v>Not inferred</x:v>
      </x:c>
      <x:c r="L296" s="34" t="str">
        <x:v>c59501ae0b9c1dfbff5c0dd8184f5db8f2edd9334b4332b874b6e3975713ae10</x:v>
      </x:c>
      <x:c r="M296" s="32" t="n">
        <x:v>20569</x:v>
      </x:c>
      <x:c r="N296" s="23" t="str">
        <x:v>https://v5ma.github.io/theology-wiki/san-reader.html?page=russian-aliyah-impact</x:v>
      </x:c>
    </x:row>
    <x:row r="297" ht="56" customHeight="1">
      <x:c r="A297" s="23" t="str">
        <x:v>Saints and US Democrats</x:v>
      </x:c>
      <x:c r="B297" s="23" t="str">
        <x:v>gpt2026dragon2675_Saints_and_US_Democrats.txt</x:v>
      </x:c>
      <x:c r="C297" s="23" t="str">
        <x:v>2025-10-23</x:v>
      </x:c>
      <x:c r="D297" s="23" t="n">
        <x:v>5</x:v>
      </x:c>
      <x:c r="E297" s="23" t="str"/>
      <x:c r="F297" s="23" t="n">
        <x:f>IF(E297="",0,LEN(E297)-LEN(SUBSTITUTE(E297,CHAR(10),""))+1)</x:f>
        <x:v>0</x:v>
      </x:c>
      <x:c r="G297" s="23" t="str"/>
      <x:c r="H297" s="23" t="n">
        <x:f>IF(G297="",0,LEN(G297&amp;"")-LEN(SUBSTITUTE(G297&amp;"",CHAR(10),""))+1)</x:f>
        <x:v>0</x:v>
      </x:c>
      <x:c r="I297" s="23" t="str"/>
      <x:c r="J297" s="23" t="str">
        <x:v>No developed-article link recorded</x:v>
      </x:c>
      <x:c r="K297" s="23" t="str">
        <x:v>Not inferred</x:v>
      </x:c>
      <x:c r="L297" s="34" t="str">
        <x:v>725e3f32ad0bbe98e23b1578cdbf2da1b1ee9a648605e686ada311e45f3c09cf</x:v>
      </x:c>
      <x:c r="M297" s="32" t="n">
        <x:v>4946</x:v>
      </x:c>
      <x:c r="N297" s="23" t="str">
        <x:v>https://v5ma.github.io/theology-wiki/san-reader.html?page=saints-and-us-democrats</x:v>
      </x:c>
    </x:row>
    <x:row r="298" ht="56" customHeight="1">
      <x:c r="A298" s="23" t="str">
        <x:v>Samaritan and Jewish Texts</x:v>
      </x:c>
      <x:c r="B298" s="23" t="str">
        <x:v>gpt2026dragon3056_Samaritan_and_Jewish_Texts.txt</x:v>
      </x:c>
      <x:c r="C298" s="23" t="str">
        <x:v>2026-01-31</x:v>
      </x:c>
      <x:c r="D298" s="23" t="n">
        <x:v>6</x:v>
      </x:c>
      <x:c r="E298" s="23" t="str">
        <x:v>samaritan-texts-and-sacred-authority</x:v>
      </x:c>
      <x:c r="F298" s="23" t="n">
        <x:f>IF(E298="",0,LEN(E298)-LEN(SUBSTITUTE(E298,CHAR(10),""))+1)</x:f>
        <x:v>1</x:v>
      </x:c>
      <x:c r="G298" s="23" t="str"/>
      <x:c r="H298" s="23" t="n">
        <x:f>IF(G298="",0,LEN(G298&amp;"")-LEN(SUBSTITUTE(G298&amp;"",CHAR(10),""))+1)</x:f>
        <x:v>0</x:v>
      </x:c>
      <x:c r="I298" s="23" t="str">
        <x:v>shared-archive</x:v>
      </x:c>
      <x:c r="J298" s="23" t="str">
        <x:v>Linked to developed article</x:v>
      </x:c>
      <x:c r="K298" s="23" t="str">
        <x:v>Not inferred</x:v>
      </x:c>
      <x:c r="L298" s="34" t="str">
        <x:v>3f16b6a04f2488a9cc446a1585f63f8d9c32cbaee6cab3db80dab25e3b458373</x:v>
      </x:c>
      <x:c r="M298" s="32" t="n">
        <x:v>22466</x:v>
      </x:c>
      <x:c r="N298" s="23" t="str">
        <x:v>https://v5ma.github.io/theology-wiki/san-reader.html?page=samaritan-and-jewish-texts</x:v>
      </x:c>
    </x:row>
    <x:row r="299" ht="56" customHeight="1">
      <x:c r="A299" s="23" t="str">
        <x:v>Samuel vs Micah Divide</x:v>
      </x:c>
      <x:c r="B299" s="23" t="str">
        <x:v>gpt2026dragon1745_Samuel_vs_Micah_Divide.txt</x:v>
      </x:c>
      <x:c r="C299" s="23" t="str">
        <x:v>2025-06-23</x:v>
      </x:c>
      <x:c r="D299" s="23" t="n">
        <x:v>10</x:v>
      </x:c>
      <x:c r="E299" s="23" t="str">
        <x:v>christ-as-an-inner-model
faith-as-deliberate-joy
scripture-power-and-repair</x:v>
      </x:c>
      <x:c r="F299" s="23" t="n">
        <x:f>IF(E299="",0,LEN(E299)-LEN(SUBSTITUTE(E299,CHAR(10),""))+1)</x:f>
        <x:v>3</x:v>
      </x:c>
      <x:c r="G299" s="23" t="str">
        <x:v>Turn 5
Turn 9</x:v>
      </x:c>
      <x:c r="H299" s="23" t="n">
        <x:f>IF(G299="",0,LEN(G299&amp;"")-LEN(SUBSTITUTE(G299&amp;"",CHAR(10),""))+1)</x:f>
        <x:v>2</x:v>
      </x:c>
      <x:c r="I299" s="23" t="str">
        <x:v>inner-model
faith
scriptural-axis
repair-practice</x:v>
      </x:c>
      <x:c r="J299" s="23" t="str">
        <x:v>Linked to developed article</x:v>
      </x:c>
      <x:c r="K299" s="23" t="str">
        <x:v>Not inferred</x:v>
      </x:c>
      <x:c r="L299" s="34" t="str">
        <x:v>3162976b8f4123cbf559bf6024e22a8f5acec4d9359dc58221420ca0e560cdfb</x:v>
      </x:c>
      <x:c r="M299" s="32" t="n">
        <x:v>26433</x:v>
      </x:c>
      <x:c r="N299" s="23" t="str">
        <x:v>https://v5ma.github.io/theology-wiki/san-reader.html?page=samuel-vs-micah-divide</x:v>
      </x:c>
    </x:row>
    <x:row r="300" ht="56" customHeight="1">
      <x:c r="A300" s="23" t="str">
        <x:v>Sanchuniathon Phoenician Mythology Summary</x:v>
      </x:c>
      <x:c r="B300" s="23" t="str">
        <x:v>gpt2026dragon1103_Sanchuniathon_Phoenician_Mythology_Summa.txt</x:v>
      </x:c>
      <x:c r="C300" s="23" t="str">
        <x:v>2025-03-15</x:v>
      </x:c>
      <x:c r="D300" s="23" t="n">
        <x:v>52</x:v>
      </x:c>
      <x:c r="E300" s="23" t="str"/>
      <x:c r="F300" s="23" t="n">
        <x:f>IF(E300="",0,LEN(E300)-LEN(SUBSTITUTE(E300,CHAR(10),""))+1)</x:f>
        <x:v>0</x:v>
      </x:c>
      <x:c r="G300" s="23" t="str"/>
      <x:c r="H300" s="23" t="n">
        <x:f>IF(G300="",0,LEN(G300&amp;"")-LEN(SUBSTITUTE(G300&amp;"",CHAR(10),""))+1)</x:f>
        <x:v>0</x:v>
      </x:c>
      <x:c r="I300" s="23" t="str"/>
      <x:c r="J300" s="23" t="str">
        <x:v>No developed-article link recorded</x:v>
      </x:c>
      <x:c r="K300" s="23" t="str">
        <x:v>Not inferred</x:v>
      </x:c>
      <x:c r="L300" s="34" t="str">
        <x:v>5c05f65efa7c8bb54b9e35d674de7e3f2d26e0868deac59462e18d03362da5c1</x:v>
      </x:c>
      <x:c r="M300" s="32" t="n">
        <x:v>92306</x:v>
      </x:c>
      <x:c r="N300" s="23" t="str">
        <x:v>https://v5ma.github.io/theology-wiki/san-reader.html?page=sanchuniathon-phoenician-mythology-summary</x:v>
      </x:c>
    </x:row>
    <x:row r="301" ht="56" customHeight="1">
      <x:c r="A301" s="23" t="str">
        <x:v>Science and God Debate</x:v>
      </x:c>
      <x:c r="B301" s="23" t="str">
        <x:v>gpt2026dragon3080_Science_and_God_Debate.txt</x:v>
      </x:c>
      <x:c r="C301" s="23" t="str">
        <x:v>2026-02-11</x:v>
      </x:c>
      <x:c r="D301" s="23" t="n">
        <x:v>2</x:v>
      </x:c>
      <x:c r="E301" s="23" t="str"/>
      <x:c r="F301" s="23" t="n">
        <x:f>IF(E301="",0,LEN(E301)-LEN(SUBSTITUTE(E301,CHAR(10),""))+1)</x:f>
        <x:v>0</x:v>
      </x:c>
      <x:c r="G301" s="23" t="str"/>
      <x:c r="H301" s="23" t="n">
        <x:f>IF(G301="",0,LEN(G301&amp;"")-LEN(SUBSTITUTE(G301&amp;"",CHAR(10),""))+1)</x:f>
        <x:v>0</x:v>
      </x:c>
      <x:c r="I301" s="23" t="str"/>
      <x:c r="J301" s="23" t="str">
        <x:v>No developed-article link recorded</x:v>
      </x:c>
      <x:c r="K301" s="23" t="str">
        <x:v>Not inferred</x:v>
      </x:c>
      <x:c r="L301" s="34" t="str">
        <x:v>3bdd1ff8ad733bd53fa72edf53113fab66f737533c502e0a6ef84bb76b509cd7</x:v>
      </x:c>
      <x:c r="M301" s="32" t="n">
        <x:v>4058</x:v>
      </x:c>
      <x:c r="N301" s="23" t="str">
        <x:v>https://v5ma.github.io/theology-wiki/san-reader.html?page=science-and-god-debate</x:v>
      </x:c>
    </x:row>
    <x:row r="302" ht="56" customHeight="1">
      <x:c r="A302" s="23" t="str">
        <x:v>Science and Spirituality Synergy</x:v>
      </x:c>
      <x:c r="B302" s="23" t="str">
        <x:v>gpt2026dragon1060_Science_and_Spirituality_Synergy.txt</x:v>
      </x:c>
      <x:c r="C302" s="23" t="str">
        <x:v>2025-03-05</x:v>
      </x:c>
      <x:c r="D302" s="23" t="n">
        <x:v>1</x:v>
      </x:c>
      <x:c r="E302" s="23" t="str"/>
      <x:c r="F302" s="23" t="n">
        <x:f>IF(E302="",0,LEN(E302)-LEN(SUBSTITUTE(E302,CHAR(10),""))+1)</x:f>
        <x:v>0</x:v>
      </x:c>
      <x:c r="G302" s="23" t="str"/>
      <x:c r="H302" s="23" t="n">
        <x:f>IF(G302="",0,LEN(G302&amp;"")-LEN(SUBSTITUTE(G302&amp;"",CHAR(10),""))+1)</x:f>
        <x:v>0</x:v>
      </x:c>
      <x:c r="I302" s="23" t="str"/>
      <x:c r="J302" s="23" t="str">
        <x:v>No developed-article link recorded</x:v>
      </x:c>
      <x:c r="K302" s="23" t="str">
        <x:v>Not inferred</x:v>
      </x:c>
      <x:c r="L302" s="34" t="str">
        <x:v>62ebe59d1dd200d04dc0ead2d46bf0673318ef6e584506660ec44329d9c98142</x:v>
      </x:c>
      <x:c r="M302" s="32" t="n">
        <x:v>2335</x:v>
      </x:c>
      <x:c r="N302" s="23" t="str">
        <x:v>https://v5ma.github.io/theology-wiki/san-reader.html?page=science-and-spirituality-synergy</x:v>
      </x:c>
    </x:row>
    <x:row r="303" ht="56" customHeight="1">
      <x:c r="A303" s="23" t="str">
        <x:v>Self and existence question</x:v>
      </x:c>
      <x:c r="B303" s="23" t="str">
        <x:v>gpt2026dragon2067_Self_and_existence_question.txt</x:v>
      </x:c>
      <x:c r="C303" s="23" t="str">
        <x:v>2025-08-08</x:v>
      </x:c>
      <x:c r="D303" s="23" t="n">
        <x:v>43</x:v>
      </x:c>
      <x:c r="E303" s="23" t="str"/>
      <x:c r="F303" s="23" t="n">
        <x:f>IF(E303="",0,LEN(E303)-LEN(SUBSTITUTE(E303,CHAR(10),""))+1)</x:f>
        <x:v>0</x:v>
      </x:c>
      <x:c r="G303" s="23" t="str"/>
      <x:c r="H303" s="23" t="n">
        <x:f>IF(G303="",0,LEN(G303&amp;"")-LEN(SUBSTITUTE(G303&amp;"",CHAR(10),""))+1)</x:f>
        <x:v>0</x:v>
      </x:c>
      <x:c r="I303" s="23" t="str"/>
      <x:c r="J303" s="23" t="str">
        <x:v>No developed-article link recorded</x:v>
      </x:c>
      <x:c r="K303" s="23" t="str">
        <x:v>Not inferred</x:v>
      </x:c>
      <x:c r="L303" s="34" t="str">
        <x:v>a2d78a9a7259a9888b66982bf7e180903d4031c460aed3746395c37178ba40c3</x:v>
      </x:c>
      <x:c r="M303" s="32" t="n">
        <x:v>208577</x:v>
      </x:c>
      <x:c r="N303" s="23" t="str">
        <x:v>https://v5ma.github.io/theology-wiki/san-reader.html?page=self-and-existence-question</x:v>
      </x:c>
    </x:row>
    <x:row r="304" ht="56" customHeight="1">
      <x:c r="A304" s="23" t="str">
        <x:v>Self-declared Pope Controversy</x:v>
      </x:c>
      <x:c r="B304" s="23" t="str">
        <x:v>gpt2026dragon1737_Self-declared_Pope_Controversy.txt</x:v>
      </x:c>
      <x:c r="C304" s="23" t="str">
        <x:v>2025-06-22</x:v>
      </x:c>
      <x:c r="D304" s="23" t="n">
        <x:v>29</x:v>
      </x:c>
      <x:c r="E304" s="23" t="str"/>
      <x:c r="F304" s="23" t="n">
        <x:f>IF(E304="",0,LEN(E304)-LEN(SUBSTITUTE(E304,CHAR(10),""))+1)</x:f>
        <x:v>0</x:v>
      </x:c>
      <x:c r="G304" s="23" t="str"/>
      <x:c r="H304" s="23" t="n">
        <x:f>IF(G304="",0,LEN(G304&amp;"")-LEN(SUBSTITUTE(G304&amp;"",CHAR(10),""))+1)</x:f>
        <x:v>0</x:v>
      </x:c>
      <x:c r="I304" s="23" t="str"/>
      <x:c r="J304" s="23" t="str">
        <x:v>No developed-article link recorded</x:v>
      </x:c>
      <x:c r="K304" s="23" t="str">
        <x:v>Not inferred</x:v>
      </x:c>
      <x:c r="L304" s="34" t="str">
        <x:v>d1bea368ab9efcf99bd4f7a04a1cdb1a033e8a87c941b21c553c65fae07a83d1</x:v>
      </x:c>
      <x:c r="M304" s="32" t="n">
        <x:v>73498</x:v>
      </x:c>
      <x:c r="N304" s="23" t="str">
        <x:v>https://v5ma.github.io/theology-wiki/san-reader.html?page=self-declared-pope-controversy</x:v>
      </x:c>
    </x:row>
    <x:row r="305" ht="56" customHeight="1">
      <x:c r="A305" s="23" t="str">
        <x:v>Seth on changing past future</x:v>
      </x:c>
      <x:c r="B305" s="23" t="str">
        <x:v>gpt2026dragon2797_Seth_on_changing_past_future.txt</x:v>
      </x:c>
      <x:c r="C305" s="23" t="str">
        <x:v>2025-11-24</x:v>
      </x:c>
      <x:c r="D305" s="23" t="n">
        <x:v>17</x:v>
      </x:c>
      <x:c r="E305" s="23" t="str"/>
      <x:c r="F305" s="23" t="n">
        <x:f>IF(E305="",0,LEN(E305)-LEN(SUBSTITUTE(E305,CHAR(10),""))+1)</x:f>
        <x:v>0</x:v>
      </x:c>
      <x:c r="G305" s="23" t="str"/>
      <x:c r="H305" s="23" t="n">
        <x:f>IF(G305="",0,LEN(G305&amp;"")-LEN(SUBSTITUTE(G305&amp;"",CHAR(10),""))+1)</x:f>
        <x:v>0</x:v>
      </x:c>
      <x:c r="I305" s="23" t="str"/>
      <x:c r="J305" s="23" t="str">
        <x:v>No developed-article link recorded</x:v>
      </x:c>
      <x:c r="K305" s="23" t="str">
        <x:v>Not inferred</x:v>
      </x:c>
      <x:c r="L305" s="34" t="str">
        <x:v>72619dfee550457ae4695683280e9b876f074c6d0b51466ddcbe13909fe82cf0</x:v>
      </x:c>
      <x:c r="M305" s="32" t="n">
        <x:v>64680</x:v>
      </x:c>
      <x:c r="N305" s="23" t="str">
        <x:v>https://v5ma.github.io/theology-wiki/san-reader.html?page=seth-on-changing-past-future</x:v>
      </x:c>
    </x:row>
    <x:row r="306" ht="56" customHeight="1">
      <x:c r="A306" s="23" t="str">
        <x:v>Simon Magus and Logos</x:v>
      </x:c>
      <x:c r="B306" s="23" t="str">
        <x:v>gpt2026dragon1101_Simon_Magus_and_Logos.txt</x:v>
      </x:c>
      <x:c r="C306" s="23" t="str">
        <x:v>2025-03-14</x:v>
      </x:c>
      <x:c r="D306" s="23" t="n">
        <x:v>6</x:v>
      </x:c>
      <x:c r="E306" s="23" t="str"/>
      <x:c r="F306" s="23" t="n">
        <x:f>IF(E306="",0,LEN(E306)-LEN(SUBSTITUTE(E306,CHAR(10),""))+1)</x:f>
        <x:v>0</x:v>
      </x:c>
      <x:c r="G306" s="23" t="str"/>
      <x:c r="H306" s="23" t="n">
        <x:f>IF(G306="",0,LEN(G306&amp;"")-LEN(SUBSTITUTE(G306&amp;"",CHAR(10),""))+1)</x:f>
        <x:v>0</x:v>
      </x:c>
      <x:c r="I306" s="23" t="str"/>
      <x:c r="J306" s="23" t="str">
        <x:v>No developed-article link recorded</x:v>
      </x:c>
      <x:c r="K306" s="23" t="str">
        <x:v>Not inferred</x:v>
      </x:c>
      <x:c r="L306" s="34" t="str">
        <x:v>8faf3da1a62728ba2c420f4ead7f9e6107710ebebde1048be3a8e54cb79b71d0</x:v>
      </x:c>
      <x:c r="M306" s="32" t="n">
        <x:v>8936</x:v>
      </x:c>
      <x:c r="N306" s="23" t="str">
        <x:v>https://v5ma.github.io/theology-wiki/san-reader.html?page=simon-magus-and-logos</x:v>
      </x:c>
    </x:row>
    <x:row r="307" ht="56" customHeight="1">
      <x:c r="A307" s="23" t="str">
        <x:v>Simulation Theory Debate</x:v>
      </x:c>
      <x:c r="B307" s="23" t="str">
        <x:v>gpt2026dragon1412_Simulation_Theory_Debate.txt</x:v>
      </x:c>
      <x:c r="C307" s="23" t="str">
        <x:v>2025-04-30</x:v>
      </x:c>
      <x:c r="D307" s="23" t="n">
        <x:v>6</x:v>
      </x:c>
      <x:c r="E307" s="23" t="str"/>
      <x:c r="F307" s="23" t="n">
        <x:f>IF(E307="",0,LEN(E307)-LEN(SUBSTITUTE(E307,CHAR(10),""))+1)</x:f>
        <x:v>0</x:v>
      </x:c>
      <x:c r="G307" s="23" t="str"/>
      <x:c r="H307" s="23" t="n">
        <x:f>IF(G307="",0,LEN(G307&amp;"")-LEN(SUBSTITUTE(G307&amp;"",CHAR(10),""))+1)</x:f>
        <x:v>0</x:v>
      </x:c>
      <x:c r="I307" s="23" t="str"/>
      <x:c r="J307" s="23" t="str">
        <x:v>No developed-article link recorded</x:v>
      </x:c>
      <x:c r="K307" s="23" t="str">
        <x:v>Not inferred</x:v>
      </x:c>
      <x:c r="L307" s="34" t="str">
        <x:v>c71df2ceda1e965697ed20d6765d41d011c15c82a3547d2cd5fbd288ed3c313f</x:v>
      </x:c>
      <x:c r="M307" s="32" t="n">
        <x:v>65685</x:v>
      </x:c>
      <x:c r="N307" s="23" t="str">
        <x:v>https://v5ma.github.io/theology-wiki/san-reader.html?page=simulation-theory-debate</x:v>
      </x:c>
    </x:row>
    <x:row r="308" ht="56" customHeight="1">
      <x:c r="A308" s="23" t="str">
        <x:v>Sith Rule of Two Myth</x:v>
      </x:c>
      <x:c r="B308" s="23" t="str">
        <x:v>gpt2026dragon1527_Sith_Rule_of_Two_Myth.txt</x:v>
      </x:c>
      <x:c r="C308" s="23" t="str">
        <x:v>2025-05-19</x:v>
      </x:c>
      <x:c r="D308" s="23" t="n">
        <x:v>9</x:v>
      </x:c>
      <x:c r="E308" s="23" t="str"/>
      <x:c r="F308" s="23" t="n">
        <x:f>IF(E308="",0,LEN(E308)-LEN(SUBSTITUTE(E308,CHAR(10),""))+1)</x:f>
        <x:v>0</x:v>
      </x:c>
      <x:c r="G308" s="23" t="str"/>
      <x:c r="H308" s="23" t="n">
        <x:f>IF(G308="",0,LEN(G308&amp;"")-LEN(SUBSTITUTE(G308&amp;"",CHAR(10),""))+1)</x:f>
        <x:v>0</x:v>
      </x:c>
      <x:c r="I308" s="23" t="str"/>
      <x:c r="J308" s="23" t="str">
        <x:v>No developed-article link recorded</x:v>
      </x:c>
      <x:c r="K308" s="23" t="str">
        <x:v>Not inferred</x:v>
      </x:c>
      <x:c r="L308" s="34" t="str">
        <x:v>79a658560e5dfd85e9b3ba22608e60326dd5bdeabf77228186e6c269d848ac69</x:v>
      </x:c>
      <x:c r="M308" s="32" t="n">
        <x:v>13896</x:v>
      </x:c>
      <x:c r="N308" s="23" t="str">
        <x:v>https://v5ma.github.io/theology-wiki/san-reader.html?page=sith-rule-of-two-myth</x:v>
      </x:c>
    </x:row>
    <x:row r="309" ht="56" customHeight="1">
      <x:c r="A309" s="23" t="str">
        <x:v>Song Style Analysis</x:v>
      </x:c>
      <x:c r="B309" s="23" t="str">
        <x:v>gpt2026dragon2908_Song_Style_Analysis.txt</x:v>
      </x:c>
      <x:c r="C309" s="23" t="str">
        <x:v>2025-12-27</x:v>
      </x:c>
      <x:c r="D309" s="23" t="n">
        <x:v>4</x:v>
      </x:c>
      <x:c r="E309" s="23" t="str"/>
      <x:c r="F309" s="23" t="n">
        <x:f>IF(E309="",0,LEN(E309)-LEN(SUBSTITUTE(E309,CHAR(10),""))+1)</x:f>
        <x:v>0</x:v>
      </x:c>
      <x:c r="G309" s="23" t="str"/>
      <x:c r="H309" s="23" t="n">
        <x:f>IF(G309="",0,LEN(G309&amp;"")-LEN(SUBSTITUTE(G309&amp;"",CHAR(10),""))+1)</x:f>
        <x:v>0</x:v>
      </x:c>
      <x:c r="I309" s="23" t="str"/>
      <x:c r="J309" s="23" t="str">
        <x:v>No developed-article link recorded</x:v>
      </x:c>
      <x:c r="K309" s="23" t="str">
        <x:v>Not inferred</x:v>
      </x:c>
      <x:c r="L309" s="34" t="str">
        <x:v>4ef5fabee9afcf972ef24975026242bce11cc07b5693802465287b6918b3ca32</x:v>
      </x:c>
      <x:c r="M309" s="32" t="n">
        <x:v>5743</x:v>
      </x:c>
      <x:c r="N309" s="23" t="str">
        <x:v>https://v5ma.github.io/theology-wiki/san-reader.html?page=song-style-analysis</x:v>
      </x:c>
    </x:row>
    <x:row r="310" ht="56" customHeight="1">
      <x:c r="A310" s="23" t="str">
        <x:v>Spiritual experience integration</x:v>
      </x:c>
      <x:c r="B310" s="23" t="str">
        <x:v>gpt2026dragon2688_Spiritual_experience_integration.txt</x:v>
      </x:c>
      <x:c r="C310" s="23" t="str">
        <x:v>2025-10-26</x:v>
      </x:c>
      <x:c r="D310" s="23" t="n">
        <x:v>15</x:v>
      </x:c>
      <x:c r="E310" s="23" t="str"/>
      <x:c r="F310" s="23" t="n">
        <x:f>IF(E310="",0,LEN(E310)-LEN(SUBSTITUTE(E310,CHAR(10),""))+1)</x:f>
        <x:v>0</x:v>
      </x:c>
      <x:c r="G310" s="23" t="str"/>
      <x:c r="H310" s="23" t="n">
        <x:f>IF(G310="",0,LEN(G310&amp;"")-LEN(SUBSTITUTE(G310&amp;"",CHAR(10),""))+1)</x:f>
        <x:v>0</x:v>
      </x:c>
      <x:c r="I310" s="23" t="str"/>
      <x:c r="J310" s="23" t="str">
        <x:v>No developed-article link recorded</x:v>
      </x:c>
      <x:c r="K310" s="23" t="str">
        <x:v>Not inferred</x:v>
      </x:c>
      <x:c r="L310" s="34" t="str">
        <x:v>e1c522c1ef924a65f6e041d0140cdc17dc5e1493f59811f56e67c82c64668279</x:v>
      </x:c>
      <x:c r="M310" s="32" t="n">
        <x:v>34943</x:v>
      </x:c>
      <x:c r="N310" s="23" t="str">
        <x:v>https://v5ma.github.io/theology-wiki/san-reader.html?page=spiritual-experience-integration</x:v>
      </x:c>
    </x:row>
    <x:row r="311" ht="56" customHeight="1">
      <x:c r="A311" s="23" t="str">
        <x:v>Squid Imagery and Propaganda</x:v>
      </x:c>
      <x:c r="B311" s="23" t="str">
        <x:v>gpt2026dragon3208_Squid_Imagery_and_Propaganda.txt</x:v>
      </x:c>
      <x:c r="C311" s="23" t="str">
        <x:v>2026-03-29</x:v>
      </x:c>
      <x:c r="D311" s="23" t="n">
        <x:v>10</x:v>
      </x:c>
      <x:c r="E311" s="23" t="str"/>
      <x:c r="F311" s="23" t="n">
        <x:f>IF(E311="",0,LEN(E311)-LEN(SUBSTITUTE(E311,CHAR(10),""))+1)</x:f>
        <x:v>0</x:v>
      </x:c>
      <x:c r="G311" s="23" t="str"/>
      <x:c r="H311" s="23" t="n">
        <x:f>IF(G311="",0,LEN(G311&amp;"")-LEN(SUBSTITUTE(G311&amp;"",CHAR(10),""))+1)</x:f>
        <x:v>0</x:v>
      </x:c>
      <x:c r="I311" s="23" t="str"/>
      <x:c r="J311" s="23" t="str">
        <x:v>No developed-article link recorded</x:v>
      </x:c>
      <x:c r="K311" s="23" t="str">
        <x:v>Not inferred</x:v>
      </x:c>
      <x:c r="L311" s="34" t="str">
        <x:v>e5f9ea250be82148b761283201d8bcbb4b6c69001b74f1224029345acfcd14ed</x:v>
      </x:c>
      <x:c r="M311" s="32" t="n">
        <x:v>12428</x:v>
      </x:c>
      <x:c r="N311" s="23" t="str">
        <x:v>https://v5ma.github.io/theology-wiki/san-reader.html?page=squid-imagery-and-propaganda</x:v>
      </x:c>
    </x:row>
    <x:row r="312" ht="56" customHeight="1">
      <x:c r="A312" s="23" t="str">
        <x:v>Stages of Awakening</x:v>
      </x:c>
      <x:c r="B312" s="23" t="str">
        <x:v>gpt2026dragon1516_Stages_of_Awakening.txt</x:v>
      </x:c>
      <x:c r="C312" s="23" t="str">
        <x:v>2025-05-18</x:v>
      </x:c>
      <x:c r="D312" s="23" t="n">
        <x:v>4</x:v>
      </x:c>
      <x:c r="E312" s="23" t="str"/>
      <x:c r="F312" s="23" t="n">
        <x:f>IF(E312="",0,LEN(E312)-LEN(SUBSTITUTE(E312,CHAR(10),""))+1)</x:f>
        <x:v>0</x:v>
      </x:c>
      <x:c r="G312" s="23" t="str"/>
      <x:c r="H312" s="23" t="n">
        <x:f>IF(G312="",0,LEN(G312&amp;"")-LEN(SUBSTITUTE(G312&amp;"",CHAR(10),""))+1)</x:f>
        <x:v>0</x:v>
      </x:c>
      <x:c r="I312" s="23" t="str"/>
      <x:c r="J312" s="23" t="str">
        <x:v>No developed-article link recorded</x:v>
      </x:c>
      <x:c r="K312" s="23" t="str">
        <x:v>Not inferred</x:v>
      </x:c>
      <x:c r="L312" s="34" t="str">
        <x:v>2dfdab145151de6831a60074ba1710fd896f25f1f2e134de5c9f460e10617cd7</x:v>
      </x:c>
      <x:c r="M312" s="32" t="n">
        <x:v>5497</x:v>
      </x:c>
      <x:c r="N312" s="23" t="str">
        <x:v>https://v5ma.github.io/theology-wiki/san-reader.html?page=stages-of-awakening</x:v>
      </x:c>
    </x:row>
    <x:row r="313" ht="56" customHeight="1">
      <x:c r="A313" s="23" t="str">
        <x:v>Stalin Putin Anti-Christ Parallel</x:v>
      </x:c>
      <x:c r="B313" s="23" t="str">
        <x:v>gpt2026dragon1059_Stalin_Putin_Anti-Christ_Parallel.txt</x:v>
      </x:c>
      <x:c r="C313" s="23" t="str">
        <x:v>2025-03-05</x:v>
      </x:c>
      <x:c r="D313" s="23" t="n">
        <x:v>8</x:v>
      </x:c>
      <x:c r="E313" s="23" t="str"/>
      <x:c r="F313" s="23" t="n">
        <x:f>IF(E313="",0,LEN(E313)-LEN(SUBSTITUTE(E313,CHAR(10),""))+1)</x:f>
        <x:v>0</x:v>
      </x:c>
      <x:c r="G313" s="23" t="str"/>
      <x:c r="H313" s="23" t="n">
        <x:f>IF(G313="",0,LEN(G313&amp;"")-LEN(SUBSTITUTE(G313&amp;"",CHAR(10),""))+1)</x:f>
        <x:v>0</x:v>
      </x:c>
      <x:c r="I313" s="23" t="str"/>
      <x:c r="J313" s="23" t="str">
        <x:v>No developed-article link recorded</x:v>
      </x:c>
      <x:c r="K313" s="23" t="str">
        <x:v>Not inferred</x:v>
      </x:c>
      <x:c r="L313" s="34" t="str">
        <x:v>f06a5667a2e5edd92bf065a534c6cc3598a780d3e43bee55ce1d3b6395ae821e</x:v>
      </x:c>
      <x:c r="M313" s="32" t="n">
        <x:v>6804</x:v>
      </x:c>
      <x:c r="N313" s="23" t="str">
        <x:v>https://v5ma.github.io/theology-wiki/san-reader.html?page=stalin-putin-anti-christ-parallel</x:v>
      </x:c>
    </x:row>
    <x:row r="314" ht="56" customHeight="1">
      <x:c r="A314" s="23" t="str">
        <x:v>Stanley Fisher clarification</x:v>
      </x:c>
      <x:c r="B314" s="23" t="str">
        <x:v>gpt2026dragon2393_Stanley_Fisher_clarification.txt</x:v>
      </x:c>
      <x:c r="C314" s="23" t="str">
        <x:v>2025-09-13</x:v>
      </x:c>
      <x:c r="D314" s="23" t="n">
        <x:v>6</x:v>
      </x:c>
      <x:c r="E314" s="23" t="str"/>
      <x:c r="F314" s="23" t="n">
        <x:f>IF(E314="",0,LEN(E314)-LEN(SUBSTITUTE(E314,CHAR(10),""))+1)</x:f>
        <x:v>0</x:v>
      </x:c>
      <x:c r="G314" s="23" t="str"/>
      <x:c r="H314" s="23" t="n">
        <x:f>IF(G314="",0,LEN(G314&amp;"")-LEN(SUBSTITUTE(G314&amp;"",CHAR(10),""))+1)</x:f>
        <x:v>0</x:v>
      </x:c>
      <x:c r="I314" s="23" t="str"/>
      <x:c r="J314" s="23" t="str">
        <x:v>No developed-article link recorded</x:v>
      </x:c>
      <x:c r="K314" s="23" t="str">
        <x:v>Not inferred</x:v>
      </x:c>
      <x:c r="L314" s="34" t="str">
        <x:v>37059563d2c0a9f350e27974e92cc33ce6850741af31c32ae456b855899ebc90</x:v>
      </x:c>
      <x:c r="M314" s="32" t="n">
        <x:v>3972</x:v>
      </x:c>
      <x:c r="N314" s="23" t="str">
        <x:v>https://v5ma.github.io/theology-wiki/san-reader.html?page=stanley-fisher-clarification</x:v>
      </x:c>
    </x:row>
    <x:row r="315" ht="56" customHeight="1">
      <x:c r="A315" s="23" t="str">
        <x:v>Starvation in Gaza Crisis</x:v>
      </x:c>
      <x:c r="B315" s="23" t="str">
        <x:v>gpt2026dragon1988_Starvation_in_Gaza_Crisis.txt</x:v>
      </x:c>
      <x:c r="C315" s="23" t="str">
        <x:v>2025-07-29</x:v>
      </x:c>
      <x:c r="D315" s="23" t="n">
        <x:v>2</x:v>
      </x:c>
      <x:c r="E315" s="23" t="str"/>
      <x:c r="F315" s="23" t="n">
        <x:f>IF(E315="",0,LEN(E315)-LEN(SUBSTITUTE(E315,CHAR(10),""))+1)</x:f>
        <x:v>0</x:v>
      </x:c>
      <x:c r="G315" s="23" t="str"/>
      <x:c r="H315" s="23" t="n">
        <x:f>IF(G315="",0,LEN(G315&amp;"")-LEN(SUBSTITUTE(G315&amp;"",CHAR(10),""))+1)</x:f>
        <x:v>0</x:v>
      </x:c>
      <x:c r="I315" s="23" t="str"/>
      <x:c r="J315" s="23" t="str">
        <x:v>No developed-article link recorded</x:v>
      </x:c>
      <x:c r="K315" s="23" t="str">
        <x:v>Not inferred</x:v>
      </x:c>
      <x:c r="L315" s="34" t="str">
        <x:v>7eca3b61e78f9e6d7917579aa0f32ccb655438d9609c2a4cf02c1e668d0ac6c9</x:v>
      </x:c>
      <x:c r="M315" s="32" t="n">
        <x:v>9360</x:v>
      </x:c>
      <x:c r="N315" s="23" t="str">
        <x:v>https://v5ma.github.io/theology-wiki/san-reader.html?page=starvation-in-gaza-crisis</x:v>
      </x:c>
    </x:row>
    <x:row r="316" ht="56" customHeight="1">
      <x:c r="A316" s="23" t="str">
        <x:v>Stop unnecessary emphasis</x:v>
      </x:c>
      <x:c r="B316" s="23" t="str">
        <x:v>gpt2026dragon1383_Stop_unnecessary_emphasis.txt</x:v>
      </x:c>
      <x:c r="C316" s="23" t="str">
        <x:v>2025-04-27</x:v>
      </x:c>
      <x:c r="D316" s="23" t="n">
        <x:v>30</x:v>
      </x:c>
      <x:c r="E316" s="23" t="str"/>
      <x:c r="F316" s="23" t="n">
        <x:f>IF(E316="",0,LEN(E316)-LEN(SUBSTITUTE(E316,CHAR(10),""))+1)</x:f>
        <x:v>0</x:v>
      </x:c>
      <x:c r="G316" s="23" t="str"/>
      <x:c r="H316" s="23" t="n">
        <x:f>IF(G316="",0,LEN(G316&amp;"")-LEN(SUBSTITUTE(G316&amp;"",CHAR(10),""))+1)</x:f>
        <x:v>0</x:v>
      </x:c>
      <x:c r="I316" s="23" t="str"/>
      <x:c r="J316" s="23" t="str">
        <x:v>No developed-article link recorded</x:v>
      </x:c>
      <x:c r="K316" s="23" t="str">
        <x:v>Not inferred</x:v>
      </x:c>
      <x:c r="L316" s="34" t="str">
        <x:v>8efa891329868b21c290d3468ee4ce5862b406b81c56a7311f315fad4f7ad330</x:v>
      </x:c>
      <x:c r="M316" s="32" t="n">
        <x:v>60767</x:v>
      </x:c>
      <x:c r="N316" s="23" t="str">
        <x:v>https://v5ma.github.io/theology-wiki/san-reader.html?page=stop-unnecessary-emphasis</x:v>
      </x:c>
    </x:row>
    <x:row r="317" ht="56" customHeight="1">
      <x:c r="A317" s="23" t="str">
        <x:v>Sumerian writing and language</x:v>
      </x:c>
      <x:c r="B317" s="23" t="str">
        <x:v>gpt2026dragon2135_Sumerian_writing_and_language.txt</x:v>
      </x:c>
      <x:c r="C317" s="23" t="str">
        <x:v>2025-08-17</x:v>
      </x:c>
      <x:c r="D317" s="23" t="n">
        <x:v>10</x:v>
      </x:c>
      <x:c r="E317" s="23" t="str"/>
      <x:c r="F317" s="23" t="n">
        <x:f>IF(E317="",0,LEN(E317)-LEN(SUBSTITUTE(E317,CHAR(10),""))+1)</x:f>
        <x:v>0</x:v>
      </x:c>
      <x:c r="G317" s="23" t="str"/>
      <x:c r="H317" s="23" t="n">
        <x:f>IF(G317="",0,LEN(G317&amp;"")-LEN(SUBSTITUTE(G317&amp;"",CHAR(10),""))+1)</x:f>
        <x:v>0</x:v>
      </x:c>
      <x:c r="I317" s="23" t="str"/>
      <x:c r="J317" s="23" t="str">
        <x:v>No developed-article link recorded</x:v>
      </x:c>
      <x:c r="K317" s="23" t="str">
        <x:v>Not inferred</x:v>
      </x:c>
      <x:c r="L317" s="34" t="str">
        <x:v>559c25033bfbb91a767eac6772242f742b73afcaf1d458369136369602b8768a</x:v>
      </x:c>
      <x:c r="M317" s="32" t="n">
        <x:v>24713</x:v>
      </x:c>
      <x:c r="N317" s="23" t="str">
        <x:v>https://v5ma.github.io/theology-wiki/san-reader.html?page=sumerian-writing-and-language</x:v>
      </x:c>
    </x:row>
    <x:row r="318" ht="56" customHeight="1">
      <x:c r="A318" s="23" t="str">
        <x:v>Sun cycles in 2 Enoch</x:v>
      </x:c>
      <x:c r="B318" s="23" t="str">
        <x:v>gpt2026dragon2704_Sun_cycles_in_2_Enoch.txt</x:v>
      </x:c>
      <x:c r="C318" s="23" t="str">
        <x:v>2025-10-31</x:v>
      </x:c>
      <x:c r="D318" s="23" t="n">
        <x:v>6</x:v>
      </x:c>
      <x:c r="E318" s="23" t="str"/>
      <x:c r="F318" s="23" t="n">
        <x:f>IF(E318="",0,LEN(E318)-LEN(SUBSTITUTE(E318,CHAR(10),""))+1)</x:f>
        <x:v>0</x:v>
      </x:c>
      <x:c r="G318" s="23" t="str"/>
      <x:c r="H318" s="23" t="n">
        <x:f>IF(G318="",0,LEN(G318&amp;"")-LEN(SUBSTITUTE(G318&amp;"",CHAR(10),""))+1)</x:f>
        <x:v>0</x:v>
      </x:c>
      <x:c r="I318" s="23" t="str"/>
      <x:c r="J318" s="23" t="str">
        <x:v>No developed-article link recorded</x:v>
      </x:c>
      <x:c r="K318" s="23" t="str">
        <x:v>Not inferred</x:v>
      </x:c>
      <x:c r="L318" s="34" t="str">
        <x:v>d7cda7b4e5fa73db16ec2de019ea07478d980d6016fa4293e1ad5388009ef813</x:v>
      </x:c>
      <x:c r="M318" s="32" t="n">
        <x:v>8926</x:v>
      </x:c>
      <x:c r="N318" s="23" t="str">
        <x:v>https://v5ma.github.io/theology-wiki/san-reader.html?page=sun-cycles-in-2-enoch</x:v>
      </x:c>
    </x:row>
    <x:row r="319" ht="56" customHeight="1">
      <x:c r="A319" s="23" t="str">
        <x:v>Sunni Shia and Christianity</x:v>
      </x:c>
      <x:c r="B319" s="23" t="str">
        <x:v>gpt2026dragon648_Sunni_Shia_and_Christianity.txt</x:v>
      </x:c>
      <x:c r="C319" s="23" t="str">
        <x:v>2025-01-11</x:v>
      </x:c>
      <x:c r="D319" s="23" t="n">
        <x:v>3</x:v>
      </x:c>
      <x:c r="E319" s="23" t="str"/>
      <x:c r="F319" s="23" t="n">
        <x:f>IF(E319="",0,LEN(E319)-LEN(SUBSTITUTE(E319,CHAR(10),""))+1)</x:f>
        <x:v>0</x:v>
      </x:c>
      <x:c r="G319" s="23" t="str"/>
      <x:c r="H319" s="23" t="n">
        <x:f>IF(G319="",0,LEN(G319&amp;"")-LEN(SUBSTITUTE(G319&amp;"",CHAR(10),""))+1)</x:f>
        <x:v>0</x:v>
      </x:c>
      <x:c r="I319" s="23" t="str"/>
      <x:c r="J319" s="23" t="str">
        <x:v>No developed-article link recorded</x:v>
      </x:c>
      <x:c r="K319" s="23" t="str">
        <x:v>Not inferred</x:v>
      </x:c>
      <x:c r="L319" s="34" t="str">
        <x:v>13d1982a7a9db28db5d8e7914f308a4b3757de0d89a7042ab66930cab6af7521</x:v>
      </x:c>
      <x:c r="M319" s="32" t="n">
        <x:v>7593</x:v>
      </x:c>
      <x:c r="N319" s="23" t="str">
        <x:v>https://v5ma.github.io/theology-wiki/san-reader.html?page=sunni-shia-and-christianity</x:v>
      </x:c>
    </x:row>
    <x:row r="320" ht="56" customHeight="1">
      <x:c r="A320" s="23" t="str">
        <x:v>SVGN.io News Website Guide</x:v>
      </x:c>
      <x:c r="B320" s="23" t="str">
        <x:v>gpt2026dragon1456_SVGN.io_News_Website_Guide.txt</x:v>
      </x:c>
      <x:c r="C320" s="23" t="str">
        <x:v>2025-05-09</x:v>
      </x:c>
      <x:c r="D320" s="23" t="n">
        <x:v>6</x:v>
      </x:c>
      <x:c r="E320" s="23" t="str"/>
      <x:c r="F320" s="23" t="n">
        <x:f>IF(E320="",0,LEN(E320)-LEN(SUBSTITUTE(E320,CHAR(10),""))+1)</x:f>
        <x:v>0</x:v>
      </x:c>
      <x:c r="G320" s="23" t="str"/>
      <x:c r="H320" s="23" t="n">
        <x:f>IF(G320="",0,LEN(G320&amp;"")-LEN(SUBSTITUTE(G320&amp;"",CHAR(10),""))+1)</x:f>
        <x:v>0</x:v>
      </x:c>
      <x:c r="I320" s="23" t="str"/>
      <x:c r="J320" s="23" t="str">
        <x:v>No developed-article link recorded</x:v>
      </x:c>
      <x:c r="K320" s="23" t="str">
        <x:v>Not inferred</x:v>
      </x:c>
      <x:c r="L320" s="34" t="str">
        <x:v>42e35a0d103901f07ab9e59270cc2455a33d88fbf6ba32fef511be09d7774e08</x:v>
      </x:c>
      <x:c r="M320" s="32" t="n">
        <x:v>26616</x:v>
      </x:c>
      <x:c r="N320" s="23" t="str">
        <x:v>https://v5ma.github.io/theology-wiki/san-reader.html?page=svgn-io-news-website-guide</x:v>
      </x:c>
    </x:row>
    <x:row r="321" ht="56" customHeight="1">
      <x:c r="A321" s="23" t="str">
        <x:v>Talmud vs Torah</x:v>
      </x:c>
      <x:c r="B321" s="23" t="str">
        <x:v>gpt2026dragon552_Talmud_vs_Torah.txt</x:v>
      </x:c>
      <x:c r="C321" s="23" t="str">
        <x:v>2024-12-18</x:v>
      </x:c>
      <x:c r="D321" s="23" t="n">
        <x:v>5</x:v>
      </x:c>
      <x:c r="E321" s="23" t="str"/>
      <x:c r="F321" s="23" t="n">
        <x:f>IF(E321="",0,LEN(E321)-LEN(SUBSTITUTE(E321,CHAR(10),""))+1)</x:f>
        <x:v>0</x:v>
      </x:c>
      <x:c r="G321" s="23" t="str"/>
      <x:c r="H321" s="23" t="n">
        <x:f>IF(G321="",0,LEN(G321&amp;"")-LEN(SUBSTITUTE(G321&amp;"",CHAR(10),""))+1)</x:f>
        <x:v>0</x:v>
      </x:c>
      <x:c r="I321" s="23" t="str"/>
      <x:c r="J321" s="23" t="str">
        <x:v>No developed-article link recorded</x:v>
      </x:c>
      <x:c r="K321" s="23" t="str">
        <x:v>Not inferred</x:v>
      </x:c>
      <x:c r="L321" s="34" t="str">
        <x:v>173663b0491c524deaebbdaa38fa68652a491d001fded7be79ff10dec3acfc1f</x:v>
      </x:c>
      <x:c r="M321" s="32" t="n">
        <x:v>8233</x:v>
      </x:c>
      <x:c r="N321" s="23" t="str">
        <x:v>https://v5ma.github.io/theology-wiki/san-reader.html?page=talmud-vs-torah</x:v>
      </x:c>
    </x:row>
    <x:row r="322" ht="56" customHeight="1">
      <x:c r="A322" s="23" t="str">
        <x:v>Teacher of Righteousness vs Gnostic Jesus</x:v>
      </x:c>
      <x:c r="B322" s="23" t="str">
        <x:v>gpt2026dragon1688_Teacher_of_Righteousness_vs_Gnostic_Jesu.txt</x:v>
      </x:c>
      <x:c r="C322" s="23" t="str">
        <x:v>2025-06-17</x:v>
      </x:c>
      <x:c r="D322" s="23" t="n">
        <x:v>20</x:v>
      </x:c>
      <x:c r="E322" s="23" t="str">
        <x:v>jesus-teacher-of-righteousness-hypothesis
cognitive-gnosticism
christ-as-an-inner-model
religion-for-conscious-robots
sacred-inheritance-and-rival-continuations
tor-thomas-and-gnostic-transmission</x:v>
      </x:c>
      <x:c r="F322" s="23" t="n">
        <x:f>IF(E322="",0,LEN(E322)-LEN(SUBSTITUTE(E322,CHAR(10),""))+1)</x:f>
        <x:v>6</x:v>
      </x:c>
      <x:c r="G322" s="23" t="str">
        <x:v>Turn 5
Turn 9
Turn 11</x:v>
      </x:c>
      <x:c r="H322" s="23" t="n">
        <x:f>IF(G322="",0,LEN(G322&amp;"")-LEN(SUBSTITUTE(G322&amp;"",CHAR(10),""))+1)</x:f>
        <x:v>3</x:v>
      </x:c>
      <x:c r="I322" s="23" t="str">
        <x:v>shared-archive
teacher-identity
thomas
gnosis
inner-model
next-inheritors
continuing</x:v>
      </x:c>
      <x:c r="J322" s="23" t="str">
        <x:v>Linked to developed article</x:v>
      </x:c>
      <x:c r="K322" s="23" t="str">
        <x:v>Not inferred</x:v>
      </x:c>
      <x:c r="L322" s="34" t="str">
        <x:v>93420993fe257f66938e6db185e878f441a643ddab8194ce05af501521c17e9c</x:v>
      </x:c>
      <x:c r="M322" s="32" t="n">
        <x:v>54831</x:v>
      </x:c>
      <x:c r="N322" s="23" t="str">
        <x:v>https://v5ma.github.io/theology-wiki/san-reader.html?page=teacher-of-righteousness-vs-gnostic-jesus</x:v>
      </x:c>
    </x:row>
    <x:row r="323" ht="56" customHeight="1">
      <x:c r="A323" s="23" t="str">
        <x:v>Teaching Cyclical Thinking</x:v>
      </x:c>
      <x:c r="B323" s="23" t="str">
        <x:v>gpt2026dragon527_Teaching_Cyclical_Thinking.txt</x:v>
      </x:c>
      <x:c r="C323" s="23" t="str">
        <x:v>2024-12-13</x:v>
      </x:c>
      <x:c r="D323" s="23" t="n">
        <x:v>7</x:v>
      </x:c>
      <x:c r="E323" s="23" t="str"/>
      <x:c r="F323" s="23" t="n">
        <x:f>IF(E323="",0,LEN(E323)-LEN(SUBSTITUTE(E323,CHAR(10),""))+1)</x:f>
        <x:v>0</x:v>
      </x:c>
      <x:c r="G323" s="23" t="str"/>
      <x:c r="H323" s="23" t="n">
        <x:f>IF(G323="",0,LEN(G323&amp;"")-LEN(SUBSTITUTE(G323&amp;"",CHAR(10),""))+1)</x:f>
        <x:v>0</x:v>
      </x:c>
      <x:c r="I323" s="23" t="str"/>
      <x:c r="J323" s="23" t="str">
        <x:v>No developed-article link recorded</x:v>
      </x:c>
      <x:c r="K323" s="23" t="str">
        <x:v>Not inferred</x:v>
      </x:c>
      <x:c r="L323" s="34" t="str">
        <x:v>37eac7a58402224500bb10d0aaa06206b6cdb5a1819eb841a8cd0e485657a68e</x:v>
      </x:c>
      <x:c r="M323" s="32" t="n">
        <x:v>11105</x:v>
      </x:c>
      <x:c r="N323" s="23" t="str">
        <x:v>https://v5ma.github.io/theology-wiki/san-reader.html?page=teaching-cyclical-thinking</x:v>
      </x:c>
    </x:row>
    <x:row r="324" ht="56" customHeight="1">
      <x:c r="A324" s="23" t="str">
        <x:v>Text transcription request</x:v>
      </x:c>
      <x:c r="B324" s="23" t="str">
        <x:v>gpt2026dragon2460_Text_transcription_request.txt</x:v>
      </x:c>
      <x:c r="C324" s="23" t="str">
        <x:v>2025-09-25</x:v>
      </x:c>
      <x:c r="D324" s="23" t="n">
        <x:v>2</x:v>
      </x:c>
      <x:c r="E324" s="23" t="str"/>
      <x:c r="F324" s="23" t="n">
        <x:f>IF(E324="",0,LEN(E324)-LEN(SUBSTITUTE(E324,CHAR(10),""))+1)</x:f>
        <x:v>0</x:v>
      </x:c>
      <x:c r="G324" s="23" t="str"/>
      <x:c r="H324" s="23" t="n">
        <x:f>IF(G324="",0,LEN(G324&amp;"")-LEN(SUBSTITUTE(G324&amp;"",CHAR(10),""))+1)</x:f>
        <x:v>0</x:v>
      </x:c>
      <x:c r="I324" s="23" t="str"/>
      <x:c r="J324" s="23" t="str">
        <x:v>No developed-article link recorded</x:v>
      </x:c>
      <x:c r="K324" s="23" t="str">
        <x:v>Not inferred</x:v>
      </x:c>
      <x:c r="L324" s="34" t="str">
        <x:v>e712d272c498bc036f834800cb3c15c58c300c352b56b9e4cf4ace1881913219</x:v>
      </x:c>
      <x:c r="M324" s="32" t="n">
        <x:v>1231</x:v>
      </x:c>
      <x:c r="N324" s="23" t="str">
        <x:v>https://v5ma.github.io/theology-wiki/san-reader.html?page=text-transcription-request</x:v>
      </x:c>
    </x:row>
    <x:row r="325" ht="56" customHeight="1">
      <x:c r="A325" s="23" t="str">
        <x:v>The Telos</x:v>
      </x:c>
      <x:c r="B325" s="23" t="str">
        <x:v>gpt2026dragon1294_The_Telos.txt</x:v>
      </x:c>
      <x:c r="C325" s="23" t="str">
        <x:v>2025-04-11</x:v>
      </x:c>
      <x:c r="D325" s="23" t="n">
        <x:v>8</x:v>
      </x:c>
      <x:c r="E325" s="23" t="str"/>
      <x:c r="F325" s="23" t="n">
        <x:f>IF(E325="",0,LEN(E325)-LEN(SUBSTITUTE(E325,CHAR(10),""))+1)</x:f>
        <x:v>0</x:v>
      </x:c>
      <x:c r="G325" s="23" t="str"/>
      <x:c r="H325" s="23" t="n">
        <x:f>IF(G325="",0,LEN(G325&amp;"")-LEN(SUBSTITUTE(G325&amp;"",CHAR(10),""))+1)</x:f>
        <x:v>0</x:v>
      </x:c>
      <x:c r="I325" s="23" t="str"/>
      <x:c r="J325" s="23" t="str">
        <x:v>No developed-article link recorded</x:v>
      </x:c>
      <x:c r="K325" s="23" t="str">
        <x:v>Not inferred</x:v>
      </x:c>
      <x:c r="L325" s="34" t="str">
        <x:v>47d7bb68f58a92c53cad00b3e5a5ab0243ac69828627a64eb862f36b6bb5f660</x:v>
      </x:c>
      <x:c r="M325" s="32" t="n">
        <x:v>7530</x:v>
      </x:c>
      <x:c r="N325" s="23" t="str">
        <x:v>https://v5ma.github.io/theology-wiki/san-reader.html?page=the-telos</x:v>
      </x:c>
    </x:row>
    <x:row r="326" ht="56" customHeight="1">
      <x:c r="A326" s="23" t="str">
        <x:v>TIM Teacher of Righteousness</x:v>
      </x:c>
      <x:c r="B326" s="23" t="str">
        <x:v>gpt2026dragon1689_TIM_Teacher_of_Righteousness.txt</x:v>
      </x:c>
      <x:c r="C326" s="23" t="str">
        <x:v>2025-06-17</x:v>
      </x:c>
      <x:c r="D326" s="23" t="n">
        <x:v>6</x:v>
      </x:c>
      <x:c r="E326" s="23" t="str"/>
      <x:c r="F326" s="23" t="n">
        <x:f>IF(E326="",0,LEN(E326)-LEN(SUBSTITUTE(E326,CHAR(10),""))+1)</x:f>
        <x:v>0</x:v>
      </x:c>
      <x:c r="G326" s="23" t="str"/>
      <x:c r="H326" s="23" t="n">
        <x:f>IF(G326="",0,LEN(G326&amp;"")-LEN(SUBSTITUTE(G326&amp;"",CHAR(10),""))+1)</x:f>
        <x:v>0</x:v>
      </x:c>
      <x:c r="I326" s="23" t="str"/>
      <x:c r="J326" s="23" t="str">
        <x:v>No developed-article link recorded</x:v>
      </x:c>
      <x:c r="K326" s="23" t="str">
        <x:v>Not inferred</x:v>
      </x:c>
      <x:c r="L326" s="34" t="str">
        <x:v>32fb98cfd0fe7d80e1f859e00a1f784180edb8af45419249300fdff32aab41eb</x:v>
      </x:c>
      <x:c r="M326" s="32" t="n">
        <x:v>14719</x:v>
      </x:c>
      <x:c r="N326" s="23" t="str">
        <x:v>https://v5ma.github.io/theology-wiki/san-reader.html?page=tim-teacher-of-righteousness</x:v>
      </x:c>
    </x:row>
    <x:row r="327" ht="56" customHeight="1">
      <x:c r="A327" s="23" t="str">
        <x:v>Timeline Creation Request</x:v>
      </x:c>
      <x:c r="B327" s="23" t="str">
        <x:v>gpt2026dragon1279_Timeline_Creation_Request.txt</x:v>
      </x:c>
      <x:c r="C327" s="23" t="str">
        <x:v>2025-04-07</x:v>
      </x:c>
      <x:c r="D327" s="23" t="n">
        <x:v>8</x:v>
      </x:c>
      <x:c r="E327" s="23" t="str"/>
      <x:c r="F327" s="23" t="n">
        <x:f>IF(E327="",0,LEN(E327)-LEN(SUBSTITUTE(E327,CHAR(10),""))+1)</x:f>
        <x:v>0</x:v>
      </x:c>
      <x:c r="G327" s="23" t="str"/>
      <x:c r="H327" s="23" t="n">
        <x:f>IF(G327="",0,LEN(G327&amp;"")-LEN(SUBSTITUTE(G327&amp;"",CHAR(10),""))+1)</x:f>
        <x:v>0</x:v>
      </x:c>
      <x:c r="I327" s="23" t="str"/>
      <x:c r="J327" s="23" t="str">
        <x:v>No developed-article link recorded</x:v>
      </x:c>
      <x:c r="K327" s="23" t="str">
        <x:v>Not inferred</x:v>
      </x:c>
      <x:c r="L327" s="34" t="str">
        <x:v>8de137fb7d0fb6249267c6c6c1819279491f621f02615dd5b72cd6610920a529</x:v>
      </x:c>
      <x:c r="M327" s="32" t="n">
        <x:v>560929</x:v>
      </x:c>
      <x:c r="N327" s="23" t="str">
        <x:v>https://v5ma.github.io/theology-wiki/san-reader.html?page=timeline-creation-request</x:v>
      </x:c>
    </x:row>
    <x:row r="328" ht="56" customHeight="1">
      <x:c r="A328" s="23" t="str">
        <x:v>Tolkien vs AI epics</x:v>
      </x:c>
      <x:c r="B328" s="23" t="str">
        <x:v>gpt2026dragon2130_Tolkien_vs_AI_epics.txt</x:v>
      </x:c>
      <x:c r="C328" s="23" t="str">
        <x:v>2025-08-16</x:v>
      </x:c>
      <x:c r="D328" s="23" t="n">
        <x:v>12</x:v>
      </x:c>
      <x:c r="E328" s="23" t="str"/>
      <x:c r="F328" s="23" t="n">
        <x:f>IF(E328="",0,LEN(E328)-LEN(SUBSTITUTE(E328,CHAR(10),""))+1)</x:f>
        <x:v>0</x:v>
      </x:c>
      <x:c r="G328" s="23" t="str"/>
      <x:c r="H328" s="23" t="n">
        <x:f>IF(G328="",0,LEN(G328&amp;"")-LEN(SUBSTITUTE(G328&amp;"",CHAR(10),""))+1)</x:f>
        <x:v>0</x:v>
      </x:c>
      <x:c r="I328" s="23" t="str"/>
      <x:c r="J328" s="23" t="str">
        <x:v>No developed-article link recorded</x:v>
      </x:c>
      <x:c r="K328" s="23" t="str">
        <x:v>Not inferred</x:v>
      </x:c>
      <x:c r="L328" s="34" t="str">
        <x:v>477c6b7398337ad8de4afe33eaa2b88bef24ba9baf0734309fe5a54fe3d864c7</x:v>
      </x:c>
      <x:c r="M328" s="32" t="n">
        <x:v>30640</x:v>
      </x:c>
      <x:c r="N328" s="23" t="str">
        <x:v>https://v5ma.github.io/theology-wiki/san-reader.html?page=tolkien-vs-ai-epics</x:v>
      </x:c>
    </x:row>
    <x:row r="329" ht="56" customHeight="1">
      <x:c r="A329" s="23" t="str">
        <x:v>Tony Robbins Criticism</x:v>
      </x:c>
      <x:c r="B329" s="23" t="str">
        <x:v>gpt2026dragon1459_Tony_Robbins_Criticism.txt</x:v>
      </x:c>
      <x:c r="C329" s="23" t="str">
        <x:v>2025-05-10</x:v>
      </x:c>
      <x:c r="D329" s="23" t="n">
        <x:v>2</x:v>
      </x:c>
      <x:c r="E329" s="23" t="str"/>
      <x:c r="F329" s="23" t="n">
        <x:f>IF(E329="",0,LEN(E329)-LEN(SUBSTITUTE(E329,CHAR(10),""))+1)</x:f>
        <x:v>0</x:v>
      </x:c>
      <x:c r="G329" s="23" t="str"/>
      <x:c r="H329" s="23" t="n">
        <x:f>IF(G329="",0,LEN(G329&amp;"")-LEN(SUBSTITUTE(G329&amp;"",CHAR(10),""))+1)</x:f>
        <x:v>0</x:v>
      </x:c>
      <x:c r="I329" s="23" t="str"/>
      <x:c r="J329" s="23" t="str">
        <x:v>No developed-article link recorded</x:v>
      </x:c>
      <x:c r="K329" s="23" t="str">
        <x:v>Not inferred</x:v>
      </x:c>
      <x:c r="L329" s="34" t="str">
        <x:v>2f9215ca1a5121cb71585cc91e8cf527927a22c7577dbab1991ae8f5a9770d2a</x:v>
      </x:c>
      <x:c r="M329" s="32" t="n">
        <x:v>3468</x:v>
      </x:c>
      <x:c r="N329" s="23" t="str">
        <x:v>https://v5ma.github.io/theology-wiki/san-reader.html?page=tony-robbins-criticism</x:v>
      </x:c>
    </x:row>
    <x:row r="330" ht="56" customHeight="1">
      <x:c r="A330" s="23" t="str">
        <x:v>Torah After Hellenistic Era</x:v>
      </x:c>
      <x:c r="B330" s="23" t="str">
        <x:v>gpt2026dragon591_Torah_After_Hellenistic_Era.txt</x:v>
      </x:c>
      <x:c r="C330" s="23" t="str">
        <x:v>2024-12-30</x:v>
      </x:c>
      <x:c r="D330" s="23" t="n">
        <x:v>7</x:v>
      </x:c>
      <x:c r="E330" s="23" t="str"/>
      <x:c r="F330" s="23" t="n">
        <x:f>IF(E330="",0,LEN(E330)-LEN(SUBSTITUTE(E330,CHAR(10),""))+1)</x:f>
        <x:v>0</x:v>
      </x:c>
      <x:c r="G330" s="23" t="str"/>
      <x:c r="H330" s="23" t="n">
        <x:f>IF(G330="",0,LEN(G330&amp;"")-LEN(SUBSTITUTE(G330&amp;"",CHAR(10),""))+1)</x:f>
        <x:v>0</x:v>
      </x:c>
      <x:c r="I330" s="23" t="str"/>
      <x:c r="J330" s="23" t="str">
        <x:v>No developed-article link recorded</x:v>
      </x:c>
      <x:c r="K330" s="23" t="str">
        <x:v>Not inferred</x:v>
      </x:c>
      <x:c r="L330" s="34" t="str">
        <x:v>862896219cd0fa362725573402aee722589e94f72790e53858ae45ed47c839c0</x:v>
      </x:c>
      <x:c r="M330" s="32" t="n">
        <x:v>29468</x:v>
      </x:c>
      <x:c r="N330" s="23" t="str">
        <x:v>https://v5ma.github.io/theology-wiki/san-reader.html?page=torah-after-hellenistic-era</x:v>
      </x:c>
    </x:row>
    <x:row r="331" ht="56" customHeight="1">
      <x:c r="A331" s="23" t="str">
        <x:v>Toxic Lyrics Impact</x:v>
      </x:c>
      <x:c r="B331" s="23" t="str">
        <x:v>gpt2026dragon572_Toxic_Lyrics_Impact.txt</x:v>
      </x:c>
      <x:c r="C331" s="23" t="str">
        <x:v>2024-12-23</x:v>
      </x:c>
      <x:c r="D331" s="23" t="n">
        <x:v>6</x:v>
      </x:c>
      <x:c r="E331" s="23" t="str"/>
      <x:c r="F331" s="23" t="n">
        <x:f>IF(E331="",0,LEN(E331)-LEN(SUBSTITUTE(E331,CHAR(10),""))+1)</x:f>
        <x:v>0</x:v>
      </x:c>
      <x:c r="G331" s="23" t="str"/>
      <x:c r="H331" s="23" t="n">
        <x:f>IF(G331="",0,LEN(G331&amp;"")-LEN(SUBSTITUTE(G331&amp;"",CHAR(10),""))+1)</x:f>
        <x:v>0</x:v>
      </x:c>
      <x:c r="I331" s="23" t="str"/>
      <x:c r="J331" s="23" t="str">
        <x:v>No developed-article link recorded</x:v>
      </x:c>
      <x:c r="K331" s="23" t="str">
        <x:v>Not inferred</x:v>
      </x:c>
      <x:c r="L331" s="34" t="str">
        <x:v>6a23065464f83f9a5d820eecdbe7785c32bd3e8e1ad31a0f0fad9313b5e8bde7</x:v>
      </x:c>
      <x:c r="M331" s="32" t="n">
        <x:v>7177</x:v>
      </x:c>
      <x:c r="N331" s="23" t="str">
        <x:v>https://v5ma.github.io/theology-wiki/san-reader.html?page=toxic-lyrics-impact</x:v>
      </x:c>
    </x:row>
    <x:row r="332" ht="56" customHeight="1">
      <x:c r="A332" s="23" t="str">
        <x:v>Triune God Historical Debate</x:v>
      </x:c>
      <x:c r="B332" s="23" t="str">
        <x:v>gpt2026dragon1821_Triune_God_Historical_Debate.txt</x:v>
      </x:c>
      <x:c r="C332" s="23" t="str">
        <x:v>2025-07-01</x:v>
      </x:c>
      <x:c r="D332" s="23" t="n">
        <x:v>4</x:v>
      </x:c>
      <x:c r="E332" s="23" t="str"/>
      <x:c r="F332" s="23" t="n">
        <x:f>IF(E332="",0,LEN(E332)-LEN(SUBSTITUTE(E332,CHAR(10),""))+1)</x:f>
        <x:v>0</x:v>
      </x:c>
      <x:c r="G332" s="23" t="str"/>
      <x:c r="H332" s="23" t="n">
        <x:f>IF(G332="",0,LEN(G332&amp;"")-LEN(SUBSTITUTE(G332&amp;"",CHAR(10),""))+1)</x:f>
        <x:v>0</x:v>
      </x:c>
      <x:c r="I332" s="23" t="str"/>
      <x:c r="J332" s="23" t="str">
        <x:v>No developed-article link recorded</x:v>
      </x:c>
      <x:c r="K332" s="23" t="str">
        <x:v>Not inferred</x:v>
      </x:c>
      <x:c r="L332" s="34" t="str">
        <x:v>d80f3cdaca6b06e7e961d46f7774112c380c472233f9504efc4f455ab060948b</x:v>
      </x:c>
      <x:c r="M332" s="32" t="n">
        <x:v>6096</x:v>
      </x:c>
      <x:c r="N332" s="23" t="str">
        <x:v>https://v5ma.github.io/theology-wiki/san-reader.html?page=triune-god-historical-debate</x:v>
      </x:c>
    </x:row>
    <x:row r="333" ht="56" customHeight="1">
      <x:c r="A333" s="23" t="str">
        <x:v>Trump antichrist analysis</x:v>
      </x:c>
      <x:c r="B333" s="23" t="str">
        <x:v>gpt2026dragon2654_Trump_antichrist_analysis.txt</x:v>
      </x:c>
      <x:c r="C333" s="23" t="str">
        <x:v>2025-10-19</x:v>
      </x:c>
      <x:c r="D333" s="23" t="n">
        <x:v>6</x:v>
      </x:c>
      <x:c r="E333" s="23" t="str"/>
      <x:c r="F333" s="23" t="n">
        <x:f>IF(E333="",0,LEN(E333)-LEN(SUBSTITUTE(E333,CHAR(10),""))+1)</x:f>
        <x:v>0</x:v>
      </x:c>
      <x:c r="G333" s="23" t="str"/>
      <x:c r="H333" s="23" t="n">
        <x:f>IF(G333="",0,LEN(G333&amp;"")-LEN(SUBSTITUTE(G333&amp;"",CHAR(10),""))+1)</x:f>
        <x:v>0</x:v>
      </x:c>
      <x:c r="I333" s="23" t="str"/>
      <x:c r="J333" s="23" t="str">
        <x:v>No developed-article link recorded</x:v>
      </x:c>
      <x:c r="K333" s="23" t="str">
        <x:v>Not inferred</x:v>
      </x:c>
      <x:c r="L333" s="34" t="str">
        <x:v>3639e2529d192c8b0d329e8520364bc03938862abb9bef07d076f31a0140667e</x:v>
      </x:c>
      <x:c r="M333" s="32" t="n">
        <x:v>10748</x:v>
      </x:c>
      <x:c r="N333" s="23" t="str">
        <x:v>https://v5ma.github.io/theology-wiki/san-reader.html?page=trump-antichrist-analysis</x:v>
      </x:c>
    </x:row>
    <x:row r="334" ht="56" customHeight="1">
      <x:c r="A334" s="23" t="str">
        <x:v>Trump as Antichrist Hypothesis</x:v>
      </x:c>
      <x:c r="B334" s="23" t="str">
        <x:v>gpt2026dragon424_Trump_as_Antichrist_Hypothesis.txt</x:v>
      </x:c>
      <x:c r="C334" s="23" t="str">
        <x:v>2024-11-17</x:v>
      </x:c>
      <x:c r="D334" s="23" t="n">
        <x:v>1</x:v>
      </x:c>
      <x:c r="E334" s="23" t="str"/>
      <x:c r="F334" s="23" t="n">
        <x:f>IF(E334="",0,LEN(E334)-LEN(SUBSTITUTE(E334,CHAR(10),""))+1)</x:f>
        <x:v>0</x:v>
      </x:c>
      <x:c r="G334" s="23" t="str"/>
      <x:c r="H334" s="23" t="n">
        <x:f>IF(G334="",0,LEN(G334&amp;"")-LEN(SUBSTITUTE(G334&amp;"",CHAR(10),""))+1)</x:f>
        <x:v>0</x:v>
      </x:c>
      <x:c r="I334" s="23" t="str"/>
      <x:c r="J334" s="23" t="str">
        <x:v>No developed-article link recorded</x:v>
      </x:c>
      <x:c r="K334" s="23" t="str">
        <x:v>Not inferred</x:v>
      </x:c>
      <x:c r="L334" s="34" t="str">
        <x:v>a2dc9158ed16e499e2e71ddcc0bff7d9abf549d6680b53460bf1ed1c87a5704b</x:v>
      </x:c>
      <x:c r="M334" s="32" t="n">
        <x:v>8065</x:v>
      </x:c>
      <x:c r="N334" s="23" t="str">
        <x:v>https://v5ma.github.io/theology-wiki/san-reader.html?page=trump-as-antichrist-hypothesis</x:v>
      </x:c>
    </x:row>
    <x:row r="335" ht="56" customHeight="1">
      <x:c r="A335" s="23" t="str">
        <x:v>Trump Bible Vision</x:v>
      </x:c>
      <x:c r="B335" s="23" t="str">
        <x:v>gpt2026dragon1436_Trump_Bible_Vision.txt</x:v>
      </x:c>
      <x:c r="C335" s="23" t="str">
        <x:v>2025-05-05</x:v>
      </x:c>
      <x:c r="D335" s="23" t="n">
        <x:v>10</x:v>
      </x:c>
      <x:c r="E335" s="23" t="str"/>
      <x:c r="F335" s="23" t="n">
        <x:f>IF(E335="",0,LEN(E335)-LEN(SUBSTITUTE(E335,CHAR(10),""))+1)</x:f>
        <x:v>0</x:v>
      </x:c>
      <x:c r="G335" s="23" t="str"/>
      <x:c r="H335" s="23" t="n">
        <x:f>IF(G335="",0,LEN(G335&amp;"")-LEN(SUBSTITUTE(G335&amp;"",CHAR(10),""))+1)</x:f>
        <x:v>0</x:v>
      </x:c>
      <x:c r="I335" s="23" t="str"/>
      <x:c r="J335" s="23" t="str">
        <x:v>No developed-article link recorded</x:v>
      </x:c>
      <x:c r="K335" s="23" t="str">
        <x:v>Not inferred</x:v>
      </x:c>
      <x:c r="L335" s="34" t="str">
        <x:v>c71c0ec50af159a0f70638e11731aee4579ea43c6b8250bb744b6227660f765e</x:v>
      </x:c>
      <x:c r="M335" s="32" t="n">
        <x:v>9945</x:v>
      </x:c>
      <x:c r="N335" s="23" t="str">
        <x:v>https://v5ma.github.io/theology-wiki/san-reader.html?page=trump-bible-vision</x:v>
      </x:c>
    </x:row>
    <x:row r="336" ht="56" customHeight="1">
      <x:c r="A336" s="23" t="str">
        <x:v>Trump Cyrus Messiah Belief</x:v>
      </x:c>
      <x:c r="B336" s="23" t="str">
        <x:v>gpt2026dragon2677_Trump_Cyrus_Messiah_Belief.txt</x:v>
      </x:c>
      <x:c r="C336" s="23" t="str">
        <x:v>2025-10-23</x:v>
      </x:c>
      <x:c r="D336" s="23" t="n">
        <x:v>2</x:v>
      </x:c>
      <x:c r="E336" s="23" t="str"/>
      <x:c r="F336" s="23" t="n">
        <x:f>IF(E336="",0,LEN(E336)-LEN(SUBSTITUTE(E336,CHAR(10),""))+1)</x:f>
        <x:v>0</x:v>
      </x:c>
      <x:c r="G336" s="23" t="str"/>
      <x:c r="H336" s="23" t="n">
        <x:f>IF(G336="",0,LEN(G336&amp;"")-LEN(SUBSTITUTE(G336&amp;"",CHAR(10),""))+1)</x:f>
        <x:v>0</x:v>
      </x:c>
      <x:c r="I336" s="23" t="str"/>
      <x:c r="J336" s="23" t="str">
        <x:v>No developed-article link recorded</x:v>
      </x:c>
      <x:c r="K336" s="23" t="str">
        <x:v>Not inferred</x:v>
      </x:c>
      <x:c r="L336" s="34" t="str">
        <x:v>7ec66a0c9cd75ddcfbc6eb6d42819f667622f16f83b7acd962674d1edb94b11c</x:v>
      </x:c>
      <x:c r="M336" s="32" t="n">
        <x:v>2352</x:v>
      </x:c>
      <x:c r="N336" s="23" t="str">
        <x:v>https://v5ma.github.io/theology-wiki/san-reader.html?page=trump-cyrus-messiah-belief</x:v>
      </x:c>
    </x:row>
    <x:row r="337" ht="56" customHeight="1">
      <x:c r="A337" s="23" t="str">
        <x:v>Trump Gaza Proposal Criticism</x:v>
      </x:c>
      <x:c r="B337" s="23" t="str">
        <x:v>gpt2026dragon892_Trump_Gaza_Proposal_Criticism.txt</x:v>
      </x:c>
      <x:c r="C337" s="23" t="str">
        <x:v>2025-02-06</x:v>
      </x:c>
      <x:c r="D337" s="23" t="n">
        <x:v>23</x:v>
      </x:c>
      <x:c r="E337" s="23" t="str"/>
      <x:c r="F337" s="23" t="n">
        <x:f>IF(E337="",0,LEN(E337)-LEN(SUBSTITUTE(E337,CHAR(10),""))+1)</x:f>
        <x:v>0</x:v>
      </x:c>
      <x:c r="G337" s="23" t="str"/>
      <x:c r="H337" s="23" t="n">
        <x:f>IF(G337="",0,LEN(G337&amp;"")-LEN(SUBSTITUTE(G337&amp;"",CHAR(10),""))+1)</x:f>
        <x:v>0</x:v>
      </x:c>
      <x:c r="I337" s="23" t="str"/>
      <x:c r="J337" s="23" t="str">
        <x:v>No developed-article link recorded</x:v>
      </x:c>
      <x:c r="K337" s="23" t="str">
        <x:v>Not inferred</x:v>
      </x:c>
      <x:c r="L337" s="34" t="str">
        <x:v>e7ffad64a2a02c853b4d585ce1d5aad0c0477f913025cd755d834b498d329fe7</x:v>
      </x:c>
      <x:c r="M337" s="32" t="n">
        <x:v>23089</x:v>
      </x:c>
      <x:c r="N337" s="23" t="str">
        <x:v>https://v5ma.github.io/theology-wiki/san-reader.html?page=trump-gaza-proposal-criticism</x:v>
      </x:c>
    </x:row>
    <x:row r="338" ht="56" customHeight="1">
      <x:c r="A338" s="23" t="str">
        <x:v>Tucker Carlson Sam Altman exchange</x:v>
      </x:c>
      <x:c r="B338" s="23" t="str">
        <x:v>gpt2026dragon2362_Tucker_Carlson_Sam_Altman_exchange.txt</x:v>
      </x:c>
      <x:c r="C338" s="23" t="str">
        <x:v>2025-09-11</x:v>
      </x:c>
      <x:c r="D338" s="23" t="n">
        <x:v>8</x:v>
      </x:c>
      <x:c r="E338" s="23" t="str"/>
      <x:c r="F338" s="23" t="n">
        <x:f>IF(E338="",0,LEN(E338)-LEN(SUBSTITUTE(E338,CHAR(10),""))+1)</x:f>
        <x:v>0</x:v>
      </x:c>
      <x:c r="G338" s="23" t="str"/>
      <x:c r="H338" s="23" t="n">
        <x:f>IF(G338="",0,LEN(G338&amp;"")-LEN(SUBSTITUTE(G338&amp;"",CHAR(10),""))+1)</x:f>
        <x:v>0</x:v>
      </x:c>
      <x:c r="I338" s="23" t="str"/>
      <x:c r="J338" s="23" t="str">
        <x:v>No developed-article link recorded</x:v>
      </x:c>
      <x:c r="K338" s="23" t="str">
        <x:v>Not inferred</x:v>
      </x:c>
      <x:c r="L338" s="34" t="str">
        <x:v>431c076bcd91f920108530801e2ef12402dcdac5e3ade87fe3379f1f0dd60e72</x:v>
      </x:c>
      <x:c r="M338" s="32" t="n">
        <x:v>15350</x:v>
      </x:c>
      <x:c r="N338" s="23" t="str">
        <x:v>https://v5ma.github.io/theology-wiki/san-reader.html?page=tucker-carlson-sam-altman-exchange</x:v>
      </x:c>
    </x:row>
    <x:row r="339" ht="56" customHeight="1">
      <x:c r="A339" s="23" t="str">
        <x:v>Two Messiahs in Judaism</x:v>
      </x:c>
      <x:c r="B339" s="23" t="str">
        <x:v>gpt2026dragon592_Two_Messiahs_in_Judaism.txt</x:v>
      </x:c>
      <x:c r="C339" s="23" t="str">
        <x:v>2024-12-30</x:v>
      </x:c>
      <x:c r="D339" s="23" t="n">
        <x:v>3</x:v>
      </x:c>
      <x:c r="E339" s="23" t="str"/>
      <x:c r="F339" s="23" t="n">
        <x:f>IF(E339="",0,LEN(E339)-LEN(SUBSTITUTE(E339,CHAR(10),""))+1)</x:f>
        <x:v>0</x:v>
      </x:c>
      <x:c r="G339" s="23" t="str"/>
      <x:c r="H339" s="23" t="n">
        <x:f>IF(G339="",0,LEN(G339&amp;"")-LEN(SUBSTITUTE(G339&amp;"",CHAR(10),""))+1)</x:f>
        <x:v>0</x:v>
      </x:c>
      <x:c r="I339" s="23" t="str"/>
      <x:c r="J339" s="23" t="str">
        <x:v>No developed-article link recorded</x:v>
      </x:c>
      <x:c r="K339" s="23" t="str">
        <x:v>Not inferred</x:v>
      </x:c>
      <x:c r="L339" s="34" t="str">
        <x:v>cdd46a94822eefaa1fbf0195c5741ea4217eb2d5bbcef1423fdc556057ac59a6</x:v>
      </x:c>
      <x:c r="M339" s="32" t="n">
        <x:v>9778</x:v>
      </x:c>
      <x:c r="N339" s="23" t="str">
        <x:v>https://v5ma.github.io/theology-wiki/san-reader.html?page=two-messiahs-in-judaism</x:v>
      </x:c>
    </x:row>
    <x:row r="340" ht="56" customHeight="1">
      <x:c r="A340" s="23" t="str">
        <x:v>Two Prophets in Eschatology</x:v>
      </x:c>
      <x:c r="B340" s="23" t="str">
        <x:v>gpt2026dragon1586_Two_Prophets_in_Eschatology.txt</x:v>
      </x:c>
      <x:c r="C340" s="23" t="str">
        <x:v>2025-05-30</x:v>
      </x:c>
      <x:c r="D340" s="23" t="n">
        <x:v>4</x:v>
      </x:c>
      <x:c r="E340" s="23" t="str"/>
      <x:c r="F340" s="23" t="n">
        <x:f>IF(E340="",0,LEN(E340)-LEN(SUBSTITUTE(E340,CHAR(10),""))+1)</x:f>
        <x:v>0</x:v>
      </x:c>
      <x:c r="G340" s="23" t="str"/>
      <x:c r="H340" s="23" t="n">
        <x:f>IF(G340="",0,LEN(G340&amp;"")-LEN(SUBSTITUTE(G340&amp;"",CHAR(10),""))+1)</x:f>
        <x:v>0</x:v>
      </x:c>
      <x:c r="I340" s="23" t="str"/>
      <x:c r="J340" s="23" t="str">
        <x:v>No developed-article link recorded</x:v>
      </x:c>
      <x:c r="K340" s="23" t="str">
        <x:v>Not inferred</x:v>
      </x:c>
      <x:c r="L340" s="34" t="str">
        <x:v>2e46b62edd61bf7623b4a3cdfe547facdcb8153873a26042dfd616e60e1e9873</x:v>
      </x:c>
      <x:c r="M340" s="32" t="n">
        <x:v>11211</x:v>
      </x:c>
      <x:c r="N340" s="23" t="str">
        <x:v>https://v5ma.github.io/theology-wiki/san-reader.html?page=two-prophets-in-eschatology</x:v>
      </x:c>
    </x:row>
    <x:row r="341" ht="56" customHeight="1">
      <x:c r="A341" s="23" t="str">
        <x:v>UN Chief Antonio Guterres exposed, along with UN Agencies UNRWA and UNIFIL, in criminal collusion with terrorists</x:v>
      </x:c>
      <x:c r="B341" s="23" t="str">
        <x:v>gpt2026dragon859_UN_Accountability_and_Oversight.txt</x:v>
      </x:c>
      <x:c r="C341" s="23" t="str">
        <x:v>2025-02-04</x:v>
      </x:c>
      <x:c r="D341" s="23" t="n">
        <x:v>10</x:v>
      </x:c>
      <x:c r="E341" s="23" t="str"/>
      <x:c r="F341" s="23" t="n">
        <x:f>IF(E341="",0,LEN(E341)-LEN(SUBSTITUTE(E341,CHAR(10),""))+1)</x:f>
        <x:v>0</x:v>
      </x:c>
      <x:c r="G341" s="23" t="str"/>
      <x:c r="H341" s="23" t="n">
        <x:f>IF(G341="",0,LEN(G341&amp;"")-LEN(SUBSTITUTE(G341&amp;"",CHAR(10),""))+1)</x:f>
        <x:v>0</x:v>
      </x:c>
      <x:c r="I341" s="23" t="str"/>
      <x:c r="J341" s="23" t="str">
        <x:v>No developed-article link recorded</x:v>
      </x:c>
      <x:c r="K341" s="23" t="str">
        <x:v>Not inferred</x:v>
      </x:c>
      <x:c r="L341" s="34" t="str">
        <x:v>f489531c9e0e272661b93d02f2c953543a55692bf8480bceb831a10597fe3eed</x:v>
      </x:c>
      <x:c r="M341" s="32" t="n">
        <x:v>6949</x:v>
      </x:c>
      <x:c r="N341" s="23" t="str">
        <x:v>https://v5ma.github.io/theology-wiki/san-reader.html?page=un-chief-antonio-guterres-exposed-along-with-un-agencies-unrwa-and-unifil-in-criminal-collusion-with-terrorists</x:v>
      </x:c>
    </x:row>
    <x:row r="342" ht="56" customHeight="1">
      <x:c r="A342" s="23" t="str">
        <x:v>Unknown Gospel details</x:v>
      </x:c>
      <x:c r="B342" s="23" t="str">
        <x:v>gpt2026dragon2702_Unknown_Gospel_details.txt</x:v>
      </x:c>
      <x:c r="C342" s="23" t="str">
        <x:v>2025-10-30</x:v>
      </x:c>
      <x:c r="D342" s="23" t="n">
        <x:v>3</x:v>
      </x:c>
      <x:c r="E342" s="23" t="str"/>
      <x:c r="F342" s="23" t="n">
        <x:f>IF(E342="",0,LEN(E342)-LEN(SUBSTITUTE(E342,CHAR(10),""))+1)</x:f>
        <x:v>0</x:v>
      </x:c>
      <x:c r="G342" s="23" t="str"/>
      <x:c r="H342" s="23" t="n">
        <x:f>IF(G342="",0,LEN(G342&amp;"")-LEN(SUBSTITUTE(G342&amp;"",CHAR(10),""))+1)</x:f>
        <x:v>0</x:v>
      </x:c>
      <x:c r="I342" s="23" t="str"/>
      <x:c r="J342" s="23" t="str">
        <x:v>No developed-article link recorded</x:v>
      </x:c>
      <x:c r="K342" s="23" t="str">
        <x:v>Not inferred</x:v>
      </x:c>
      <x:c r="L342" s="34" t="str">
        <x:v>18913fc91b23e908f78f145d627f2e9adc9d8bfc35cfe069f9408d35b35a8286</x:v>
      </x:c>
      <x:c r="M342" s="32" t="n">
        <x:v>9930</x:v>
      </x:c>
      <x:c r="N342" s="23" t="str">
        <x:v>https://v5ma.github.io/theology-wiki/san-reader.html?page=unknown-gospel-details</x:v>
      </x:c>
    </x:row>
    <x:row r="343" ht="56" customHeight="1">
      <x:c r="A343" s="23" t="str">
        <x:v>UNRWA Hamas Allegations Investigation</x:v>
      </x:c>
      <x:c r="B343" s="23" t="str">
        <x:v>gpt2026dragon858_UNRWA_Hamas_Allegations_Investigation.txt</x:v>
      </x:c>
      <x:c r="C343" s="23" t="str">
        <x:v>2025-02-04</x:v>
      </x:c>
      <x:c r="D343" s="23" t="n">
        <x:v>7</x:v>
      </x:c>
      <x:c r="E343" s="23" t="str"/>
      <x:c r="F343" s="23" t="n">
        <x:f>IF(E343="",0,LEN(E343)-LEN(SUBSTITUTE(E343,CHAR(10),""))+1)</x:f>
        <x:v>0</x:v>
      </x:c>
      <x:c r="G343" s="23" t="str"/>
      <x:c r="H343" s="23" t="n">
        <x:f>IF(G343="",0,LEN(G343&amp;"")-LEN(SUBSTITUTE(G343&amp;"",CHAR(10),""))+1)</x:f>
        <x:v>0</x:v>
      </x:c>
      <x:c r="I343" s="23" t="str"/>
      <x:c r="J343" s="23" t="str">
        <x:v>No developed-article link recorded</x:v>
      </x:c>
      <x:c r="K343" s="23" t="str">
        <x:v>Not inferred</x:v>
      </x:c>
      <x:c r="L343" s="34" t="str">
        <x:v>201cd8e76ccd19ef5c8527de5f5e46888b69bc1db384cd73c9824b432c3c8218</x:v>
      </x:c>
      <x:c r="M343" s="32" t="n">
        <x:v>13210</x:v>
      </x:c>
      <x:c r="N343" s="23" t="str">
        <x:v>https://v5ma.github.io/theology-wiki/san-reader.html?page=unrwa-hamas-allegations-investigation</x:v>
      </x:c>
    </x:row>
    <x:row r="344" ht="56" customHeight="1">
      <x:c r="A344" s="23" t="str">
        <x:v>UNRWA Hamas Allegations Summary</x:v>
      </x:c>
      <x:c r="B344" s="23" t="str">
        <x:v>gpt2026dragon860_UNRWA_Hamas_Allegations_Summary.txt</x:v>
      </x:c>
      <x:c r="C344" s="23" t="str">
        <x:v>2025-02-04</x:v>
      </x:c>
      <x:c r="D344" s="23" t="n">
        <x:v>6</x:v>
      </x:c>
      <x:c r="E344" s="23" t="str"/>
      <x:c r="F344" s="23" t="n">
        <x:f>IF(E344="",0,LEN(E344)-LEN(SUBSTITUTE(E344,CHAR(10),""))+1)</x:f>
        <x:v>0</x:v>
      </x:c>
      <x:c r="G344" s="23" t="str"/>
      <x:c r="H344" s="23" t="n">
        <x:f>IF(G344="",0,LEN(G344&amp;"")-LEN(SUBSTITUTE(G344&amp;"",CHAR(10),""))+1)</x:f>
        <x:v>0</x:v>
      </x:c>
      <x:c r="I344" s="23" t="str"/>
      <x:c r="J344" s="23" t="str">
        <x:v>No developed-article link recorded</x:v>
      </x:c>
      <x:c r="K344" s="23" t="str">
        <x:v>Not inferred</x:v>
      </x:c>
      <x:c r="L344" s="34" t="str">
        <x:v>fb207311de825bdfbaf716d95be9d076f36d109513d57a466d92939871ee40db</x:v>
      </x:c>
      <x:c r="M344" s="32" t="n">
        <x:v>28944</x:v>
      </x:c>
      <x:c r="N344" s="23" t="str">
        <x:v>https://v5ma.github.io/theology-wiki/san-reader.html?page=unrwa-hamas-allegations-summary</x:v>
      </x:c>
    </x:row>
    <x:row r="345" ht="56" customHeight="1">
      <x:c r="A345" s="23" t="str">
        <x:v>US Allies Military Rebuild</x:v>
      </x:c>
      <x:c r="B345" s="23" t="str">
        <x:v>gpt2026dragon1234_US_Allies_Military_Rebuild.txt</x:v>
      </x:c>
      <x:c r="C345" s="23" t="str">
        <x:v>2025-03-28</x:v>
      </x:c>
      <x:c r="D345" s="23" t="n">
        <x:v>2</x:v>
      </x:c>
      <x:c r="E345" s="23" t="str"/>
      <x:c r="F345" s="23" t="n">
        <x:f>IF(E345="",0,LEN(E345)-LEN(SUBSTITUTE(E345,CHAR(10),""))+1)</x:f>
        <x:v>0</x:v>
      </x:c>
      <x:c r="G345" s="23" t="str"/>
      <x:c r="H345" s="23" t="n">
        <x:f>IF(G345="",0,LEN(G345&amp;"")-LEN(SUBSTITUTE(G345&amp;"",CHAR(10),""))+1)</x:f>
        <x:v>0</x:v>
      </x:c>
      <x:c r="I345" s="23" t="str"/>
      <x:c r="J345" s="23" t="str">
        <x:v>No developed-article link recorded</x:v>
      </x:c>
      <x:c r="K345" s="23" t="str">
        <x:v>Not inferred</x:v>
      </x:c>
      <x:c r="L345" s="34" t="str">
        <x:v>a2f1f242ba1d5242e9e5aed755f9551fa13c2cfdaaba99e7fe1a1b4021a49fa6</x:v>
      </x:c>
      <x:c r="M345" s="32" t="n">
        <x:v>6149</x:v>
      </x:c>
      <x:c r="N345" s="23" t="str">
        <x:v>https://v5ma.github.io/theology-wiki/san-reader.html?page=us-allies-military-rebuild</x:v>
      </x:c>
    </x:row>
    <x:row r="346" ht="56" customHeight="1">
      <x:c r="A346" s="23" t="str">
        <x:v>Vegas - Alien Think Rebels</x:v>
      </x:c>
      <x:c r="B346" s="23" t="str">
        <x:v>gpt2026dragon641_Vegas_-_Alien_Think_Rebels.txt</x:v>
      </x:c>
      <x:c r="C346" s="23" t="str">
        <x:v>2025-01-10</x:v>
      </x:c>
      <x:c r="D346" s="23" t="n">
        <x:v>19</x:v>
      </x:c>
      <x:c r="E346" s="23" t="str"/>
      <x:c r="F346" s="23" t="n">
        <x:f>IF(E346="",0,LEN(E346)-LEN(SUBSTITUTE(E346,CHAR(10),""))+1)</x:f>
        <x:v>0</x:v>
      </x:c>
      <x:c r="G346" s="23" t="str"/>
      <x:c r="H346" s="23" t="n">
        <x:f>IF(G346="",0,LEN(G346&amp;"")-LEN(SUBSTITUTE(G346&amp;"",CHAR(10),""))+1)</x:f>
        <x:v>0</x:v>
      </x:c>
      <x:c r="I346" s="23" t="str"/>
      <x:c r="J346" s="23" t="str">
        <x:v>No developed-article link recorded</x:v>
      </x:c>
      <x:c r="K346" s="23" t="str">
        <x:v>Not inferred</x:v>
      </x:c>
      <x:c r="L346" s="34" t="str">
        <x:v>717ebf6a8790f1774204400a4359a926a9377497ca592a3c7abb78088034d4f7</x:v>
      </x:c>
      <x:c r="M346" s="32" t="n">
        <x:v>24164</x:v>
      </x:c>
      <x:c r="N346" s="23" t="str">
        <x:v>https://v5ma.github.io/theology-wiki/san-reader.html?page=vegas-alien-think-rebels</x:v>
      </x:c>
    </x:row>
    <x:row r="347" ht="56" customHeight="1">
      <x:c r="A347" s="23" t="str">
        <x:v>Vessel and DMT Integration</x:v>
      </x:c>
      <x:c r="B347" s="23" t="str">
        <x:v>gpt2026dragon487_Vessel_and_DMT_Integration.txt</x:v>
      </x:c>
      <x:c r="C347" s="23" t="str">
        <x:v>2024-12-02</x:v>
      </x:c>
      <x:c r="D347" s="23" t="n">
        <x:v>3</x:v>
      </x:c>
      <x:c r="E347" s="23" t="str"/>
      <x:c r="F347" s="23" t="n">
        <x:f>IF(E347="",0,LEN(E347)-LEN(SUBSTITUTE(E347,CHAR(10),""))+1)</x:f>
        <x:v>0</x:v>
      </x:c>
      <x:c r="G347" s="23" t="str"/>
      <x:c r="H347" s="23" t="n">
        <x:f>IF(G347="",0,LEN(G347&amp;"")-LEN(SUBSTITUTE(G347&amp;"",CHAR(10),""))+1)</x:f>
        <x:v>0</x:v>
      </x:c>
      <x:c r="I347" s="23" t="str"/>
      <x:c r="J347" s="23" t="str">
        <x:v>No developed-article link recorded</x:v>
      </x:c>
      <x:c r="K347" s="23" t="str">
        <x:v>Not inferred</x:v>
      </x:c>
      <x:c r="L347" s="34" t="str">
        <x:v>6459ebadbd2c56b8d5d916c18991b70ec11bc22c5b111e9d7d5f278cc30d583e</x:v>
      </x:c>
      <x:c r="M347" s="32" t="n">
        <x:v>6422</x:v>
      </x:c>
      <x:c r="N347" s="23" t="str">
        <x:v>https://v5ma.github.io/theology-wiki/san-reader.html?page=vessel-and-dmt-integration</x:v>
      </x:c>
    </x:row>
    <x:row r="348" ht="56" customHeight="1">
      <x:c r="A348" s="23" t="str">
        <x:v>Virgin Birth Debate</x:v>
      </x:c>
      <x:c r="B348" s="23" t="str">
        <x:v>gpt2026dragon1975_Virgin_Birth_Debate.txt</x:v>
      </x:c>
      <x:c r="C348" s="23" t="str">
        <x:v>2025-07-27</x:v>
      </x:c>
      <x:c r="D348" s="23" t="n">
        <x:v>6</x:v>
      </x:c>
      <x:c r="E348" s="23" t="str"/>
      <x:c r="F348" s="23" t="n">
        <x:f>IF(E348="",0,LEN(E348)-LEN(SUBSTITUTE(E348,CHAR(10),""))+1)</x:f>
        <x:v>0</x:v>
      </x:c>
      <x:c r="G348" s="23" t="str"/>
      <x:c r="H348" s="23" t="n">
        <x:f>IF(G348="",0,LEN(G348&amp;"")-LEN(SUBSTITUTE(G348&amp;"",CHAR(10),""))+1)</x:f>
        <x:v>0</x:v>
      </x:c>
      <x:c r="I348" s="23" t="str"/>
      <x:c r="J348" s="23" t="str">
        <x:v>No developed-article link recorded</x:v>
      </x:c>
      <x:c r="K348" s="23" t="str">
        <x:v>Not inferred</x:v>
      </x:c>
      <x:c r="L348" s="34" t="str">
        <x:v>70cebec20e97d58db43b73e8e98b7cee3f83aaa76eb1dbaf9862432a88892c01</x:v>
      </x:c>
      <x:c r="M348" s="32" t="n">
        <x:v>9259</x:v>
      </x:c>
      <x:c r="N348" s="23" t="str">
        <x:v>https://v5ma.github.io/theology-wiki/san-reader.html?page=virgin-birth-debate</x:v>
      </x:c>
    </x:row>
    <x:row r="349" ht="56" customHeight="1">
      <x:c r="A349" s="23" t="str">
        <x:v>Voice in the Wilderness</x:v>
      </x:c>
      <x:c r="B349" s="23" t="str">
        <x:v>gpt2026dragon1704_Voice_in_the_Wilderness.txt</x:v>
      </x:c>
      <x:c r="C349" s="23" t="str">
        <x:v>2025-06-18</x:v>
      </x:c>
      <x:c r="D349" s="23" t="n">
        <x:v>8</x:v>
      </x:c>
      <x:c r="E349" s="23" t="str"/>
      <x:c r="F349" s="23" t="n">
        <x:f>IF(E349="",0,LEN(E349)-LEN(SUBSTITUTE(E349,CHAR(10),""))+1)</x:f>
        <x:v>0</x:v>
      </x:c>
      <x:c r="G349" s="23" t="str"/>
      <x:c r="H349" s="23" t="n">
        <x:f>IF(G349="",0,LEN(G349&amp;"")-LEN(SUBSTITUTE(G349&amp;"",CHAR(10),""))+1)</x:f>
        <x:v>0</x:v>
      </x:c>
      <x:c r="I349" s="23" t="str"/>
      <x:c r="J349" s="23" t="str">
        <x:v>No developed-article link recorded</x:v>
      </x:c>
      <x:c r="K349" s="23" t="str">
        <x:v>Not inferred</x:v>
      </x:c>
      <x:c r="L349" s="34" t="str">
        <x:v>b6464d8deab9c81b19b5cc3b2a69d3315c2a585200f6e958c4713a93bcb89171</x:v>
      </x:c>
      <x:c r="M349" s="32" t="n">
        <x:v>5815</x:v>
      </x:c>
      <x:c r="N349" s="23" t="str">
        <x:v>https://v5ma.github.io/theology-wiki/san-reader.html?page=voice-in-the-wilderness</x:v>
      </x:c>
    </x:row>
    <x:row r="350" ht="56" customHeight="1">
      <x:c r="A350" s="23" t="str">
        <x:v>VTT AI Plagiarism Analysis</x:v>
      </x:c>
      <x:c r="B350" s="23" t="str">
        <x:v>gpt2026dragon1323_VTT_AI_Plagiarism_Analysis.txt</x:v>
      </x:c>
      <x:c r="C350" s="23" t="str">
        <x:v>2025-04-19</x:v>
      </x:c>
      <x:c r="D350" s="23" t="n">
        <x:v>14</x:v>
      </x:c>
      <x:c r="E350" s="23" t="str"/>
      <x:c r="F350" s="23" t="n">
        <x:f>IF(E350="",0,LEN(E350)-LEN(SUBSTITUTE(E350,CHAR(10),""))+1)</x:f>
        <x:v>0</x:v>
      </x:c>
      <x:c r="G350" s="23" t="str"/>
      <x:c r="H350" s="23" t="n">
        <x:f>IF(G350="",0,LEN(G350&amp;"")-LEN(SUBSTITUTE(G350&amp;"",CHAR(10),""))+1)</x:f>
        <x:v>0</x:v>
      </x:c>
      <x:c r="I350" s="23" t="str"/>
      <x:c r="J350" s="23" t="str">
        <x:v>No developed-article link recorded</x:v>
      </x:c>
      <x:c r="K350" s="23" t="str">
        <x:v>Not inferred</x:v>
      </x:c>
      <x:c r="L350" s="34" t="str">
        <x:v>902ed41beb81c3fadc2f8f6c9de9d9287dfeb02332ae28cb7a503af187793c2e</x:v>
      </x:c>
      <x:c r="M350" s="32" t="n">
        <x:v>69403</x:v>
      </x:c>
      <x:c r="N350" s="23" t="str">
        <x:v>https://v5ma.github.io/theology-wiki/san-reader.html?page=vtt-ai-plagiarism-analysis</x:v>
      </x:c>
    </x:row>
    <x:row r="351" ht="56" customHeight="1">
      <x:c r="A351" s="23" t="str">
        <x:v>What is Midian</x:v>
      </x:c>
      <x:c r="B351" s="23" t="str">
        <x:v>gpt2026dragon1069_What_is_Midian.txt</x:v>
      </x:c>
      <x:c r="C351" s="23" t="str">
        <x:v>2025-03-06</x:v>
      </x:c>
      <x:c r="D351" s="23" t="n">
        <x:v>3</x:v>
      </x:c>
      <x:c r="E351" s="23" t="str">
        <x:v>kenite-hypothesis-and-yahweh-origins</x:v>
      </x:c>
      <x:c r="F351" s="23" t="n">
        <x:f>IF(E351="",0,LEN(E351)-LEN(SUBSTITUTE(E351,CHAR(10),""))+1)</x:f>
        <x:v>1</x:v>
      </x:c>
      <x:c r="G351" s="23" t="str"/>
      <x:c r="H351" s="23" t="n">
        <x:f>IF(G351="",0,LEN(G351&amp;"")-LEN(SUBSTITUTE(G351&amp;"",CHAR(10),""))+1)</x:f>
        <x:v>0</x:v>
      </x:c>
      <x:c r="I351" s="23" t="str">
        <x:v>names</x:v>
      </x:c>
      <x:c r="J351" s="23" t="str">
        <x:v>Linked to developed article</x:v>
      </x:c>
      <x:c r="K351" s="23" t="str">
        <x:v>Not inferred</x:v>
      </x:c>
      <x:c r="L351" s="34" t="str">
        <x:v>7b39d156ff9e619f8d71ef657fc238c60225fc65e1a0caea9ad64f7551862ebf</x:v>
      </x:c>
      <x:c r="M351" s="32" t="n">
        <x:v>6374</x:v>
      </x:c>
      <x:c r="N351" s="23" t="str">
        <x:v>https://v5ma.github.io/theology-wiki/san-reader.html?page=what-is-midian</x:v>
      </x:c>
    </x:row>
    <x:row r="352" ht="56" customHeight="1">
      <x:c r="A352" s="23" t="str">
        <x:v>Who was Josepheous</x:v>
      </x:c>
      <x:c r="B352" s="23" t="str">
        <x:v>gpt2026dragon1904_Who_was_Josepheous.txt</x:v>
      </x:c>
      <x:c r="C352" s="23" t="str">
        <x:v>2025-07-15</x:v>
      </x:c>
      <x:c r="D352" s="23" t="n">
        <x:v>42</x:v>
      </x:c>
      <x:c r="E352" s="23" t="str">
        <x:v>tor-thomas-and-gnostic-transmission</x:v>
      </x:c>
      <x:c r="F352" s="23" t="n">
        <x:f>IF(E352="",0,LEN(E352)-LEN(SUBSTITUTE(E352,CHAR(10),""))+1)</x:f>
        <x:v>1</x:v>
      </x:c>
      <x:c r="G352" s="23" t="str">
        <x:v>Turn 33</x:v>
      </x:c>
      <x:c r="H352" s="23" t="n">
        <x:f>IF(G352="",0,LEN(G352&amp;"")-LEN(SUBSTITUTE(G352&amp;"",CHAR(10),""))+1)</x:f>
        <x:v>1</x:v>
      </x:c>
      <x:c r="I352" s="23" t="str">
        <x:v>thomas</x:v>
      </x:c>
      <x:c r="J352" s="23" t="str">
        <x:v>Linked to developed article</x:v>
      </x:c>
      <x:c r="K352" s="23" t="str">
        <x:v>Not inferred</x:v>
      </x:c>
      <x:c r="L352" s="34" t="str">
        <x:v>27577e46e020502069dbaec1c828e146241a193002d5acd3f6e15708267e15c3</x:v>
      </x:c>
      <x:c r="M352" s="32" t="n">
        <x:v>76112</x:v>
      </x:c>
      <x:c r="N352" s="23" t="str">
        <x:v>https://v5ma.github.io/theology-wiki/san-reader.html?page=who-was-josepheous</x:v>
      </x:c>
    </x:row>
    <x:row r="353" ht="56" customHeight="1">
      <x:c r="A353" s="23" t="str">
        <x:v>Yahweh and Asherah's Relationship</x:v>
      </x:c>
      <x:c r="B353" s="23" t="str">
        <x:v>gpt2026dragon1033_Yahweh_and_Asherah_s_Relationship.txt</x:v>
      </x:c>
      <x:c r="C353" s="23" t="str">
        <x:v>2025-03-02</x:v>
      </x:c>
      <x:c r="D353" s="23" t="n">
        <x:v>4</x:v>
      </x:c>
      <x:c r="E353" s="23" t="str">
        <x:v>el-in-ancient-egypt</x:v>
      </x:c>
      <x:c r="F353" s="23" t="n">
        <x:f>IF(E353="",0,LEN(E353)-LEN(SUBSTITUTE(E353,CHAR(10),""))+1)</x:f>
        <x:v>1</x:v>
      </x:c>
      <x:c r="G353" s="23" t="str"/>
      <x:c r="H353" s="23" t="n">
        <x:f>IF(G353="",0,LEN(G353&amp;"")-LEN(SUBSTITUTE(G353&amp;"",CHAR(10),""))+1)</x:f>
        <x:v>0</x:v>
      </x:c>
      <x:c r="I353" s="23" t="str">
        <x:v>names</x:v>
      </x:c>
      <x:c r="J353" s="23" t="str">
        <x:v>Linked to developed article</x:v>
      </x:c>
      <x:c r="K353" s="23" t="str">
        <x:v>Not inferred</x:v>
      </x:c>
      <x:c r="L353" s="34" t="str">
        <x:v>0c4fd3d526e696f2dd490391b44aba2f0f8af5bad45c521765243216d9753443</x:v>
      </x:c>
      <x:c r="M353" s="32" t="n">
        <x:v>5748</x:v>
      </x:c>
      <x:c r="N353" s="23" t="str">
        <x:v>https://v5ma.github.io/theology-wiki/san-reader.html?page=yahweh-and-asherah-s-relationship</x:v>
      </x:c>
    </x:row>
    <x:row r="354" ht="56" customHeight="1">
      <x:c r="A354" s="23" t="str">
        <x:v>Yahweh Annunaki and Flood</x:v>
      </x:c>
      <x:c r="B354" s="23" t="str">
        <x:v>gpt2026dragon1254_Yahweh_Annunaki_and_Flood.txt</x:v>
      </x:c>
      <x:c r="C354" s="23" t="str">
        <x:v>2025-04-02</x:v>
      </x:c>
      <x:c r="D354" s="23" t="n">
        <x:v>6</x:v>
      </x:c>
      <x:c r="E354" s="23" t="str"/>
      <x:c r="F354" s="23" t="n">
        <x:f>IF(E354="",0,LEN(E354)-LEN(SUBSTITUTE(E354,CHAR(10),""))+1)</x:f>
        <x:v>0</x:v>
      </x:c>
      <x:c r="G354" s="23" t="str"/>
      <x:c r="H354" s="23" t="n">
        <x:f>IF(G354="",0,LEN(G354&amp;"")-LEN(SUBSTITUTE(G354&amp;"",CHAR(10),""))+1)</x:f>
        <x:v>0</x:v>
      </x:c>
      <x:c r="I354" s="23" t="str"/>
      <x:c r="J354" s="23" t="str">
        <x:v>No developed-article link recorded</x:v>
      </x:c>
      <x:c r="K354" s="23" t="str">
        <x:v>Not inferred</x:v>
      </x:c>
      <x:c r="L354" s="34" t="str">
        <x:v>ce50a86c175f817333aa68ca608dd4f29f16a9c44bc82ff5eadc0b1c34a07e4f</x:v>
      </x:c>
      <x:c r="M354" s="32" t="n">
        <x:v>13316</x:v>
      </x:c>
      <x:c r="N354" s="23" t="str">
        <x:v>https://v5ma.github.io/theology-wiki/san-reader.html?page=yahweh-annunaki-and-flood</x:v>
      </x:c>
    </x:row>
    <x:row r="355" ht="56" customHeight="1">
      <x:c r="A355" s="23" t="str">
        <x:v>Yahweh El or Enki</x:v>
      </x:c>
      <x:c r="B355" s="23" t="str">
        <x:v>gpt2026dragon2713_Yahweh_El_or_Enki.txt</x:v>
      </x:c>
      <x:c r="C355" s="23" t="str">
        <x:v>2025-10-31</x:v>
      </x:c>
      <x:c r="D355" s="23" t="n">
        <x:v>13</x:v>
      </x:c>
      <x:c r="E355" s="23" t="str"/>
      <x:c r="F355" s="23" t="n">
        <x:f>IF(E355="",0,LEN(E355)-LEN(SUBSTITUTE(E355,CHAR(10),""))+1)</x:f>
        <x:v>0</x:v>
      </x:c>
      <x:c r="G355" s="23" t="str"/>
      <x:c r="H355" s="23" t="n">
        <x:f>IF(G355="",0,LEN(G355&amp;"")-LEN(SUBSTITUTE(G355&amp;"",CHAR(10),""))+1)</x:f>
        <x:v>0</x:v>
      </x:c>
      <x:c r="I355" s="23" t="str"/>
      <x:c r="J355" s="23" t="str">
        <x:v>No developed-article link recorded</x:v>
      </x:c>
      <x:c r="K355" s="23" t="str">
        <x:v>Not inferred</x:v>
      </x:c>
      <x:c r="L355" s="34" t="str">
        <x:v>5b033a8a45c553ec94a5a61de98040a8fb5219c5d18c8e023b859cdb70eda7b2</x:v>
      </x:c>
      <x:c r="M355" s="32" t="n">
        <x:v>17524</x:v>
      </x:c>
      <x:c r="N355" s="23" t="str">
        <x:v>https://v5ma.github.io/theology-wiki/san-reader.html?page=yahweh-el-or-enki</x:v>
      </x:c>
    </x:row>
    <x:row r="356" ht="56" customHeight="1">
      <x:c r="A356" s="23" t="str">
        <x:v>Yahwey and the Annunaki</x:v>
      </x:c>
      <x:c r="B356" s="23" t="str">
        <x:v>gpt2026dragon1252_Yahwey_and_the_Annunaki.txt</x:v>
      </x:c>
      <x:c r="C356" s="23" t="str">
        <x:v>2025-04-02</x:v>
      </x:c>
      <x:c r="D356" s="23" t="n">
        <x:v>4</x:v>
      </x:c>
      <x:c r="E356" s="23" t="str"/>
      <x:c r="F356" s="23" t="n">
        <x:f>IF(E356="",0,LEN(E356)-LEN(SUBSTITUTE(E356,CHAR(10),""))+1)</x:f>
        <x:v>0</x:v>
      </x:c>
      <x:c r="G356" s="23" t="str"/>
      <x:c r="H356" s="23" t="n">
        <x:f>IF(G356="",0,LEN(G356&amp;"")-LEN(SUBSTITUTE(G356&amp;"",CHAR(10),""))+1)</x:f>
        <x:v>0</x:v>
      </x:c>
      <x:c r="I356" s="23" t="str"/>
      <x:c r="J356" s="23" t="str">
        <x:v>No developed-article link recorded</x:v>
      </x:c>
      <x:c r="K356" s="23" t="str">
        <x:v>Not inferred</x:v>
      </x:c>
      <x:c r="L356" s="34" t="str">
        <x:v>05494fb17ce5c8e95495a3e10560123ecf4d863a2b3123415ffe739c9b997450</x:v>
      </x:c>
      <x:c r="M356" s="32" t="n">
        <x:v>2366</x:v>
      </x:c>
      <x:c r="N356" s="23" t="str">
        <x:v>https://v5ma.github.io/theology-wiki/san-reader.html?page=yahwey-and-the-annunaki</x:v>
      </x:c>
    </x:row>
    <x:row r="357" ht="56" customHeight="1">
      <x:c r="A357" s="23" t="str">
        <x:v>Yahwey and the Sky People</x:v>
      </x:c>
      <x:c r="B357" s="23" t="str">
        <x:v>gpt2026dragon1251_Yahwey_and_the_Sky_People.txt</x:v>
      </x:c>
      <x:c r="C357" s="23" t="str">
        <x:v>2025-04-02</x:v>
      </x:c>
      <x:c r="D357" s="23" t="n">
        <x:v>11</x:v>
      </x:c>
      <x:c r="E357" s="23" t="str"/>
      <x:c r="F357" s="23" t="n">
        <x:f>IF(E357="",0,LEN(E357)-LEN(SUBSTITUTE(E357,CHAR(10),""))+1)</x:f>
        <x:v>0</x:v>
      </x:c>
      <x:c r="G357" s="23" t="str"/>
      <x:c r="H357" s="23" t="n">
        <x:f>IF(G357="",0,LEN(G357&amp;"")-LEN(SUBSTITUTE(G357&amp;"",CHAR(10),""))+1)</x:f>
        <x:v>0</x:v>
      </x:c>
      <x:c r="I357" s="23" t="str"/>
      <x:c r="J357" s="23" t="str">
        <x:v>No developed-article link recorded</x:v>
      </x:c>
      <x:c r="K357" s="23" t="str">
        <x:v>Not inferred</x:v>
      </x:c>
      <x:c r="L357" s="34" t="str">
        <x:v>bb51bc80425bf6a0e3e1d73997a74213ce17e9798763557debed396c8d74bb06</x:v>
      </x:c>
      <x:c r="M357" s="32" t="n">
        <x:v>6719</x:v>
      </x:c>
      <x:c r="N357" s="23" t="str">
        <x:v>https://v5ma.github.io/theology-wiki/san-reader.html?page=yahwey-and-the-sky-people</x:v>
      </x:c>
    </x:row>
    <x:row r="358" ht="56" customHeight="1">
      <x:c r="A358" s="23" t="str">
        <x:v>Ye Are Gods Quote</x:v>
      </x:c>
      <x:c r="B358" s="23" t="str">
        <x:v>gpt2026dragon1610_Ye_Are_Gods_Quote.txt</x:v>
      </x:c>
      <x:c r="C358" s="23" t="str">
        <x:v>2025-06-02</x:v>
      </x:c>
      <x:c r="D358" s="23" t="n">
        <x:v>4</x:v>
      </x:c>
      <x:c r="E358" s="23" t="str"/>
      <x:c r="F358" s="23" t="n">
        <x:f>IF(E358="",0,LEN(E358)-LEN(SUBSTITUTE(E358,CHAR(10),""))+1)</x:f>
        <x:v>0</x:v>
      </x:c>
      <x:c r="G358" s="23" t="str"/>
      <x:c r="H358" s="23" t="n">
        <x:f>IF(G358="",0,LEN(G358&amp;"")-LEN(SUBSTITUTE(G358&amp;"",CHAR(10),""))+1)</x:f>
        <x:v>0</x:v>
      </x:c>
      <x:c r="I358" s="23" t="str"/>
      <x:c r="J358" s="23" t="str">
        <x:v>No developed-article link recorded</x:v>
      </x:c>
      <x:c r="K358" s="23" t="str">
        <x:v>Not inferred</x:v>
      </x:c>
      <x:c r="L358" s="34" t="str">
        <x:v>19d1f655af778a661727ba87164963a300cec73183526c948c47b5c24a060e64</x:v>
      </x:c>
      <x:c r="M358" s="32" t="n">
        <x:v>2422</x:v>
      </x:c>
      <x:c r="N358" s="23" t="str">
        <x:v>https://v5ma.github.io/theology-wiki/san-reader.html?page=ye-are-gods-quote</x:v>
      </x:c>
    </x:row>
    <x:row r="359" ht="56" customHeight="1">
      <x:c r="A359" s="23" t="str">
        <x:v>Zecharia Sitchin Overview</x:v>
      </x:c>
      <x:c r="B359" s="23" t="str">
        <x:v>gpt2026dragon1253_Zecharia_Sitchin_Overview.txt</x:v>
      </x:c>
      <x:c r="C359" s="23" t="str">
        <x:v>2025-04-02</x:v>
      </x:c>
      <x:c r="D359" s="23" t="n">
        <x:v>6</x:v>
      </x:c>
      <x:c r="E359" s="23" t="str"/>
      <x:c r="F359" s="23" t="n">
        <x:f>IF(E359="",0,LEN(E359)-LEN(SUBSTITUTE(E359,CHAR(10),""))+1)</x:f>
        <x:v>0</x:v>
      </x:c>
      <x:c r="G359" s="23" t="str"/>
      <x:c r="H359" s="23" t="n">
        <x:f>IF(G359="",0,LEN(G359&amp;"")-LEN(SUBSTITUTE(G359&amp;"",CHAR(10),""))+1)</x:f>
        <x:v>0</x:v>
      </x:c>
      <x:c r="I359" s="23" t="str"/>
      <x:c r="J359" s="23" t="str">
        <x:v>No developed-article link recorded</x:v>
      </x:c>
      <x:c r="K359" s="23" t="str">
        <x:v>Not inferred</x:v>
      </x:c>
      <x:c r="L359" s="34" t="str">
        <x:v>19f0367276cee151bfd54c046cab5b54b51d906e41762d179b07c58e4abf9ec5</x:v>
      </x:c>
      <x:c r="M359" s="32" t="n">
        <x:v>6306</x:v>
      </x:c>
      <x:c r="N359" s="23" t="str">
        <x:v>https://v5ma.github.io/theology-wiki/san-reader.html?page=zecharia-sitchin-overview</x:v>
      </x:c>
    </x:row>
    <x:row r="360" ht="56" customHeight="1">
      <x:c r="A360" s="23" t="str">
        <x:v>Zeus Antichrist Connection</x:v>
      </x:c>
      <x:c r="B360" s="23" t="str">
        <x:v>gpt2026dragon1239_Zeus_Antichrist_Connection.txt</x:v>
      </x:c>
      <x:c r="C360" s="23" t="str">
        <x:v>2025-03-29</x:v>
      </x:c>
      <x:c r="D360" s="23" t="n">
        <x:v>24</x:v>
      </x:c>
      <x:c r="E360" s="23" t="str"/>
      <x:c r="F360" s="23" t="n">
        <x:f>IF(E360="",0,LEN(E360)-LEN(SUBSTITUTE(E360,CHAR(10),""))+1)</x:f>
        <x:v>0</x:v>
      </x:c>
      <x:c r="G360" s="23" t="str"/>
      <x:c r="H360" s="23" t="n">
        <x:f>IF(G360="",0,LEN(G360&amp;"")-LEN(SUBSTITUTE(G360&amp;"",CHAR(10),""))+1)</x:f>
        <x:v>0</x:v>
      </x:c>
      <x:c r="I360" s="23" t="str"/>
      <x:c r="J360" s="23" t="str">
        <x:v>No developed-article link recorded</x:v>
      </x:c>
      <x:c r="K360" s="23" t="str">
        <x:v>Not inferred</x:v>
      </x:c>
      <x:c r="L360" s="34" t="str">
        <x:v>d9afdcf43a9c744ae6dd84867404d893b39167d2aad83773ecf57084058bd3cb</x:v>
      </x:c>
      <x:c r="M360" s="32" t="n">
        <x:v>56633</x:v>
      </x:c>
      <x:c r="N360" s="23" t="str">
        <x:v>https://v5ma.github.io/theology-wiki/san-reader.html?page=zeus-antichrist-connection</x:v>
      </x:c>
    </x:row>
  </x:sheetData>
  <x:mergeCells>
    <x:mergeCell ref="A1:N1"/>
    <x:mergeCell ref="A2:N3"/>
    <x:mergeCell ref="A5:N5"/>
  </x:mergeCells>
  <x:pageMargins left="0.7" right="0.7" top="0.75" bottom="0.75" header="0.3" footer="0.3"/>
  <x:tableParts count="1">
    <x:tablePart xmlns:r="http://schemas.openxmlformats.org/officeDocument/2006/relationships" r:id="Rb1209acb76d3430a"/>
  </x:tableParts>
</x:worksheet>
</file>

<file path=xl/worksheets/sheet6.xml><?xml version="1.0" encoding="utf-8"?>
<x:worksheet xmlns:x="http://schemas.openxmlformats.org/spreadsheetml/2006/main">
  <x:sheetFormatPr defaultRowHeight="15"/>
  <x:cols>
    <x:col min="1" max="1" width="30" hidden="0" customWidth="1"/>
    <x:col min="2" max="2" width="30" hidden="0" customWidth="1"/>
    <x:col min="3" max="3" width="40" hidden="0" customWidth="1"/>
    <x:col min="4" max="4" width="26" hidden="0" customWidth="1"/>
    <x:col min="5" max="5" width="40" hidden="0" customWidth="1"/>
    <x:col min="6" max="6" width="32" hidden="0" customWidth="1"/>
    <x:col min="7" max="7" width="40" hidden="0" customWidth="1"/>
    <x:col min="8" max="8" width="35" hidden="0" customWidth="1"/>
    <x:col min="9" max="9" width="29" hidden="0" customWidth="1"/>
    <x:col min="10" max="10" width="40" hidden="0" customWidth="1"/>
  </x:cols>
  <x:sheetData>
    <x:row r="1" ht="36" customHeight="1">
      <x:c r="A1" s="69" t="str">
        <x:v>Theology | Passage evidence and comparison</x:v>
      </x:c>
      <x:c r="B1" s="69"/>
      <x:c r="C1" s="69"/>
      <x:c r="D1" s="69"/>
      <x:c r="E1" s="69"/>
      <x:c r="F1" s="69"/>
      <x:c r="G1" s="69"/>
      <x:c r="H1" s="69"/>
      <x:c r="I1" s="74"/>
      <x:c r="J1" s="74"/>
    </x:row>
    <x:row r="2" ht="22" customHeight="1">
      <x:c r="A2" s="71" t="str">
        <x:v>Preserved Melchizedek records plus the 30-claim comparison. A source contribution, interpretive boundary and next question are not a probability score.</x:v>
      </x:c>
      <x:c r="B2" s="71"/>
      <x:c r="C2" s="71"/>
      <x:c r="D2" s="71"/>
      <x:c r="E2" s="71"/>
      <x:c r="F2" s="71"/>
      <x:c r="G2" s="71"/>
      <x:c r="H2" s="71"/>
      <x:c r="I2" s="74"/>
      <x:c r="J2" s="74"/>
    </x:row>
    <x:row r="3" ht="22" customHeight="1">
      <x:c r="A3" s="71"/>
      <x:c r="B3" s="71"/>
      <x:c r="C3" s="71"/>
      <x:c r="D3" s="71"/>
      <x:c r="E3" s="71"/>
      <x:c r="F3" s="71"/>
      <x:c r="G3" s="71"/>
      <x:c r="H3" s="71"/>
      <x:c r="I3" s="74"/>
      <x:c r="J3" s="74"/>
    </x:row>
    <x:row r="4">
      <x:c r="A4" s="2"/>
      <x:c r="B4" s="2"/>
      <x:c r="C4" s="2"/>
      <x:c r="D4" s="2"/>
      <x:c r="E4" s="2"/>
      <x:c r="F4" s="2"/>
      <x:c r="G4" s="2"/>
      <x:c r="H4" s="2"/>
    </x:row>
    <x:row r="5" ht="20" customHeight="1">
      <x:c r="A5" s="72" t="str">
        <x:v>Content edition: 2026.09.06-james-transmission-1</x:v>
      </x:c>
      <x:c r="B5" s="14"/>
      <x:c r="C5" s="14"/>
      <x:c r="D5" s="14"/>
      <x:c r="E5" s="14"/>
      <x:c r="F5" s="14"/>
      <x:c r="G5" s="14"/>
      <x:c r="H5" s="14"/>
    </x:row>
    <x:row r="6" ht="32" customHeight="1">
      <x:c r="A6" s="79" t="str">
        <x:v>Witness / text</x:v>
      </x:c>
      <x:c r="B6" s="79" t="str">
        <x:v>Passage locator</x:v>
      </x:c>
      <x:c r="C6" s="79" t="str">
        <x:v>Role in this reading</x:v>
      </x:c>
      <x:c r="D6" s="79" t="str">
        <x:v>Comparison</x:v>
      </x:c>
      <x:c r="E6" s="79" t="str">
        <x:v>What is not established</x:v>
      </x:c>
      <x:c r="F6" s="79" t="str">
        <x:v>Source / translator</x:v>
      </x:c>
      <x:c r="G6" s="79" t="str">
        <x:v>Access scope</x:v>
      </x:c>
      <x:c r="H6" s="79" t="str">
        <x:v>Source URL</x:v>
      </x:c>
      <x:c r="I6" s="82" t="str">
        <x:v>Surviving channel / ID</x:v>
      </x:c>
      <x:c r="J6" s="82" t="str">
        <x:v>Next investigation</x:v>
      </x:c>
    </x:row>
    <x:row r="7" ht="120" customHeight="1">
      <x:c r="A7" s="77" t="str">
        <x:v>Genesis encounter</x:v>
      </x:c>
      <x:c r="B7" s="77" t="str">
        <x:v>Genesis 14:18-20</x:v>
      </x:c>
      <x:c r="C7" s="77" t="str">
        <x:v>King-priest who blesses Abram and receives a tithe.</x:v>
      </x:c>
      <x:c r="D7" s="77" t="str">
        <x:v>Recognition of sacred authority is narrated before later explanations of institutional descent.</x:v>
      </x:c>
      <x:c r="E7" s="77" t="str">
        <x:v>The passage does not supply an Aaronic or Zadokite genealogy or a transmission route to Qumran.</x:v>
      </x:c>
      <x:c r="F7" s="77" t="str">
        <x:v>Genesis 14:18-20, World English Bible</x:v>
      </x:c>
      <x:c r="G7" s="77" t="str">
        <x:v>Primary chapter consulted. The encounter, blessing and tithe are kept separate from later lineage claims.</x:v>
      </x:c>
      <x:c r="H7" s="77" t="str">
        <x:v>https://ebible.org/engwebp/GEN14.htm</x:v>
      </x:c>
      <x:c r="I7" s="83"/>
      <x:c r="J7" s="83"/>
    </x:row>
    <x:row r="8" ht="120" customHeight="1">
      <x:c r="A8" s="77" t="str">
        <x:v>Royal priestly address</x:v>
      </x:c>
      <x:c r="B8" s="77" t="str">
        <x:v>Psalm 110:1-7, especially verse 4</x:v>
      </x:c>
      <x:c r="C8" s="77" t="str">
        <x:v>An enduring priestly appointment in a royal and judicial setting.</x:v>
      </x:c>
      <x:c r="D8" s="77" t="str">
        <x:v>The figure authorizes a role; the surrounding enemy/judgment language must not be omitted.</x:v>
      </x:c>
      <x:c r="E8" s="77" t="str">
        <x:v>A later reading of the royal address is not automatically the original setting of composition.</x:v>
      </x:c>
      <x:c r="F8" s="77" t="str">
        <x:v>Psalm 110, World English Bible</x:v>
      </x:c>
      <x:c r="G8" s="77" t="str">
        <x:v>Primary psalm consulted, especially verses 1-7. Royal and judicial language is retained alongside the priestly address.</x:v>
      </x:c>
      <x:c r="H8" s="77" t="str">
        <x:v>https://ebible.org/engwebp/PSA110.htm</x:v>
      </x:c>
      <x:c r="I8" s="83"/>
      <x:c r="J8" s="83"/>
    </x:row>
    <x:row r="9" ht="120" customHeight="1">
      <x:c r="A9" s="77" t="str">
        <x:v>11QMelchizedek</x:v>
      </x:c>
      <x:c r="B9" s="77" t="str">
        <x:v>11Q13 column II, lines 2-9 and 13, through Williams 2023</x:v>
      </x:c>
      <x:c r="C9" s="77" t="str">
        <x:v>Release, restoration and atonement in the consulted scholarly reading.</x:v>
      </x:c>
      <x:c r="D9" s="77" t="str">
        <x:v>Williams argues for an active subject in II 6 rather than an indefinite rendering; this affects the distribution of authority.</x:v>
      </x:c>
      <x:c r="E9" s="77" t="str">
        <x:v>This reading is disputed. Access to a translation and argument does not constitute independent collation of the damaged manuscript.</x:v>
      </x:c>
      <x:c r="F9" s="77" t="str">
        <x:v>Logan Williams (2023), Melchizedek, the Son of Man, and Eschatological Jubilee</x:v>
      </x:c>
      <x:c r="G9" s="77" t="str">
        <x:v>Full-text HTML consulted, particularly the author's translation of 11Q13 II 2-9 and discussion of II 6 and 13. His active-agent reading is distinguished from the critical edition he disputes. The critical edition itself has not been collated in this pass. This is current editorial research, not a recovered author acknowledgment.</x:v>
      </x:c>
      <x:c r="H9" s="77" t="str">
        <x:v>https://journals.sagepub.com/doi/10.1177/0142064X231191176</x:v>
      </x:c>
      <x:c r="I9" s="83"/>
      <x:c r="J9" s="83"/>
    </x:row>
    <x:row r="10" ht="120" customHeight="1">
      <x:c r="A10" s="77" t="str">
        <x:v>Continuing priesthood</x:v>
      </x:c>
      <x:c r="B10" s="77" t="str">
        <x:v>Hebrews 7:1-17 and 23-28</x:v>
      </x:c>
      <x:c r="C10" s="77" t="str">
        <x:v>Interpretive superiority and enduring intercession, distinguished from ordinary Levitical qualification.</x:v>
      </x:c>
      <x:c r="D10" s="77" t="str">
        <x:v>The letter uses the inherited figure to reason about a different basis of authority.</x:v>
      </x:c>
      <x:c r="E10" s="77" t="str">
        <x:v>Textual likeness and a continuing role are not evidence that Teacher, James and Jesus are one historical individual.</x:v>
      </x:c>
      <x:c r="F10" s="77" t="str">
        <x:v>Hebrews 7, World English Bible</x:v>
      </x:c>
      <x:c r="G10" s="77" t="str">
        <x:v>Primary chapter consulted, especially verses 1-17 and 23-28. Textual resemblance, descent and continuing priesthood are distinguished.</x:v>
      </x:c>
      <x:c r="H10" s="77" t="str">
        <x:v>https://ebible.org/engwebp/HEB07.htm</x:v>
      </x:c>
      <x:c r="I10" s="83"/>
      <x:c r="J10" s="83"/>
    </x:row>
    <x:row r="11" ht="120" customHeight="1">
      <x:c r="A11" s="77" t="str">
        <x:v>Melchizedek tractate</x:v>
      </x:c>
      <x:c r="B11" s="77" t="str">
        <x:v>Nag Hammadi Codex IX,1; online translation, paragraphs on embodiment and the image of the high priest</x:v>
      </x:c>
      <x:c r="C11" s="77" t="str">
        <x:v>Exalted priestly language with ritual participation and explicit embodiment language.</x:v>
      </x:c>
      <x:c r="D11" s="77" t="str">
        <x:v>The anti-docetic passage complicates a universal equation of Gnostic salvation with rejection of the body.</x:v>
      </x:c>
      <x:c r="E11" s="77" t="str">
        <x:v>Extensive gaps prevent an effortless continuous reconstruction. Exact printed page/line citations remain a task.</x:v>
      </x:c>
      <x:c r="F11" s="77" t="str">
        <x:v>Melchizedek, translated by Soren Giversen and Birger A. Pearson</x:v>
      </x:c>
      <x:c r="G11" s="77" t="str">
        <x:v>Online translation retrieved in the indexed full-text result; direct-page retrieval failed. Marked lacunae are retained in the interpretation. The online notice requests published-edition citations for academic work; printed page/line collation remains open. Credit is for a textual source used by this edition, not a claimed personal influence on Micah.</x:v>
      </x:c>
      <x:c r="H11" s="77" t="str">
        <x:v>https://www.gnosis.org/naghamm/melchiz.html</x:v>
      </x:c>
      <x:c r="I11" s="83"/>
      <x:c r="J11" s="83"/>
    </x:row>
    <x:row r="12" ht="120" customHeight="1">
      <x:c r="A12" s="83" t="str">
        <x:v>James receives and transmits knowledge</x:v>
      </x:c>
      <x:c r="B12" s="83" t="str">
        <x:v>Eusebius 2.1.4, quoting Clement, Hypotyposes 7</x:v>
      </x:c>
      <x:c r="C12" s="83" t="str">
        <x:v>Knowledge is reported as passing through named recipients and subsequent transmitters.</x:v>
      </x:c>
      <x:c r="D12" s="83" t="str">
        <x:v>James and succession</x:v>
      </x:c>
      <x:c r="E12" s="83" t="str">
        <x:v>The complete Hypotyposes is not independently recovered here, and the knowledge is not identified as Thomas.</x:v>
      </x:c>
      <x:c r="F12" s="83" t="str">
        <x:v>Eusebius, Church History 2.1 and 2.23, McGiffert translation</x:v>
      </x:c>
      <x:c r="G12" s="83" t="str">
        <x:v>Consulted the English translation of 2.1.3-4 and 2.23.4-18. Clement and Hegesippus are quoted through Eusebius, not independently recovered complete works. No Greek manuscript collation; narrative details are reported claims, not all independently established events.</x:v>
      </x:c>
      <x:c r="H12" s="83" t="str">
        <x:v>https://www.newadvent.org/fathers/250102.htm</x:v>
      </x:c>
      <x:c r="I12" s="83" t="str">
        <x:v>eusebius / jt-knowledge</x:v>
      </x:c>
      <x:c r="J12" s="83" t="str">
        <x:v>Compare transmitted content and authority without equating knowledge with membership in a later Gnostic school.</x:v>
      </x:c>
    </x:row>
    <x:row r="13" ht="120" customHeight="1">
      <x:c r="A13" s="83" t="str">
        <x:v>James is portrayed with priestly functions</x:v>
      </x:c>
      <x:c r="B13" s="83" t="str">
        <x:v>Eusebius 2.23.4-7, quoting Hegesippus</x:v>
      </x:c>
      <x:c r="C13" s="83" t="str">
        <x:v>Linen, holy-place access and intercession make priestly representation a concrete comparison.</x:v>
      </x:c>
      <x:c r="D13" s="83" t="str">
        <x:v>James and succession</x:v>
      </x:c>
      <x:c r="E13" s="83" t="str">
        <x:v>The portrayal does not document a Zadokite or Oniad pedigree.</x:v>
      </x:c>
      <x:c r="F13" s="83" t="str">
        <x:v>Eusebius, Church History 2.1 and 2.23, McGiffert translation</x:v>
      </x:c>
      <x:c r="G13" s="83" t="str">
        <x:v>Consulted the English translation of 2.1.3-4 and 2.23.4-18. Clement and Hegesippus are quoted through Eusebius, not independently recovered complete works. No Greek manuscript collation; narrative details are reported claims, not all independently established events.</x:v>
      </x:c>
      <x:c r="H13" s="83" t="str">
        <x:v>https://www.newadvent.org/fathers/250102.htm</x:v>
      </x:c>
      <x:c r="I13" s="83" t="str">
        <x:v>eusebius / jt-priestly-portrait</x:v>
      </x:c>
      <x:c r="J13" s="83" t="str">
        <x:v>Test whether the portrait preserves an office, ritual authority, or retrospective authorization.</x:v>
      </x:c>
    </x:row>
    <x:row r="14" ht="120" customHeight="1">
      <x:c r="A14" s="83" t="str">
        <x:v>Kinship in the reported succession</x:v>
      </x:c>
      <x:c r="B14" s="83" t="str">
        <x:v>Eusebius 4.22.4-7, quoting Hegesippus</x:v>
      </x:c>
      <x:c r="C14" s="83" t="str">
        <x:v>Symeon is presented as succeeding James with a kinship rationale.</x:v>
      </x:c>
      <x:c r="D14" s="83" t="str">
        <x:v>James and succession</x:v>
      </x:c>
      <x:c r="E14" s="83" t="str">
        <x:v>The same account classifies Essenes as opponents; it is not an unqualified admission of institutional identity.</x:v>
      </x:c>
      <x:c r="F14" s="83" t="str">
        <x:v>Eusebius, Church History 4.22, McGiffert translation</x:v>
      </x:c>
      <x:c r="G14" s="83" t="str">
        <x:v>Consulted 4.22.4-7, including Hegesippus on Symeon, the disputed succession and the classification of Essenes as opponents. The reported kinship and polemical framing remain explicit; no independent reconstruction of the lost Memoirs.</x:v>
      </x:c>
      <x:c r="H14" s="83" t="str">
        <x:v>https://www.newadvent.org/fathers/250104.htm</x:v>
      </x:c>
      <x:c r="I14" s="83" t="str">
        <x:v>eusebius / jt-symeon</x:v>
      </x:c>
      <x:c r="J14" s="83" t="str">
        <x:v>Keep family, office and partisan classifications distinct when testing continuity.</x:v>
      </x:c>
    </x:row>
    <x:row r="15" ht="120" customHeight="1">
      <x:c r="A15" s="83" t="str">
        <x:v>The particular brother relationship</x:v>
      </x:c>
      <x:c r="B15" s="83" t="str">
        <x:v>Galatians 1:11-20</x:v>
      </x:c>
      <x:c r="C15" s="83" t="str">
        <x:v>Paul singles out James through a relationship to the Lord and recounts a visit after three years.</x:v>
      </x:c>
      <x:c r="D15" s="83" t="str">
        <x:v>James and succession</x:v>
      </x:c>
      <x:c r="E15" s="83" t="str">
        <x:v>Spiritual kinship elsewhere does not automatically explain this particular relationship; the three years do not measure the prior persecution.</x:v>
      </x:c>
      <x:c r="F15" s="83" t="str">
        <x:v>Galatians 1, World English Bible</x:v>
      </x:c>
      <x:c r="G15" s="83" t="str">
        <x:v>Primary text: Paul's account of persecution, revelation, earlier apostles and a visit to Peter and James.</x:v>
      </x:c>
      <x:c r="H15" s="83" t="str">
        <x:v>https://ebible.org/engwebp/GAL01.htm</x:v>
      </x:c>
      <x:c r="I15" s="83" t="str">
        <x:v>galatians / jt-paul-kinship</x:v>
      </x:c>
      <x:c r="J15" s="83" t="str">
        <x:v>Explain the relational wording under the earlier-founder and namesake-successor alternatives.</x:v>
      </x:c>
    </x:row>
    <x:row r="16" ht="120" customHeight="1">
      <x:c r="A16" s="83" t="str">
        <x:v>Recognition and division of mission</x:v>
      </x:c>
      <x:c r="B16" s="83" t="str">
        <x:v>Galatians 2:1-10</x:v>
      </x:c>
      <x:c r="C16" s="83" t="str">
        <x:v>Paul reports recognition from James, Cephas and John and a division of mission.</x:v>
      </x:c>
      <x:c r="D16" s="83" t="str">
        <x:v>James and succession</x:v>
      </x:c>
      <x:c r="E16" s="83" t="str">
        <x:v>This is Paul's own presentation, not an independent record of every participant's intentions.</x:v>
      </x:c>
      <x:c r="F16" s="83" t="str">
        <x:v>Galatians 2, World English Bible</x:v>
      </x:c>
      <x:c r="G16" s="83" t="str">
        <x:v>Primary text read in full, especially verses 1-10 on an interval, companions and recognized leaders. The passage does not by itself supply an absolute calendar date for the visit.</x:v>
      </x:c>
      <x:c r="H16" s="83" t="str">
        <x:v>https://ebible.org/engwebp/GAL02.htm</x:v>
      </x:c>
      <x:c r="I16" s="83" t="str">
        <x:v>galatians / jt-paul-recognition</x:v>
      </x:c>
      <x:c r="J16" s="83" t="str">
        <x:v>Ask how a rival mission could seek acknowledgment while maintaining a contested program.</x:v>
      </x:c>
    </x:row>
    <x:row r="17" ht="120" customHeight="1">
      <x:c r="A17" s="83" t="str">
        <x:v>Shared meals and contested authority</x:v>
      </x:c>
      <x:c r="B17" s="83" t="str">
        <x:v>Galatians 2:11-14</x:v>
      </x:c>
      <x:c r="C17" s="83" t="str">
        <x:v>The meal conflict involves arrivals associated with James.</x:v>
      </x:c>
      <x:c r="D17" s="83" t="str">
        <x:v>James and succession</x:v>
      </x:c>
      <x:c r="E17" s="83" t="str">
        <x:v>The paragraph does not explicitly state that James personally ordered the withdrawal.</x:v>
      </x:c>
      <x:c r="F17" s="83" t="str">
        <x:v>Galatians 2, World English Bible</x:v>
      </x:c>
      <x:c r="G17" s="83" t="str">
        <x:v>Primary text read in full, especially verses 1-10 on an interval, companions and recognized leaders. The passage does not by itself supply an absolute calendar date for the visit.</x:v>
      </x:c>
      <x:c r="H17" s="83" t="str">
        <x:v>https://ebible.org/engwebp/GAL02.htm</x:v>
      </x:c>
      <x:c r="I17" s="83" t="str">
        <x:v>galatians / jt-paul-conflict</x:v>
      </x:c>
      <x:c r="J17" s="83" t="str">
        <x:v>Compare association, command and retrospective self-defense rather than attributing an unwritten instruction.</x:v>
      </x:c>
    </x:row>
    <x:row r="18" ht="120" customHeight="1">
      <x:c r="A18" s="83" t="str">
        <x:v>James in the Festus-Albinus interval</x:v>
      </x:c>
      <x:c r="B18" s="83" t="str">
        <x:v>Antiquities 20.200</x:v>
      </x:c>
      <x:c r="C18" s="83" t="str">
        <x:v>The paragraph provides an administrative interval and identifies James through Jesus called Christ.</x:v>
      </x:c>
      <x:c r="D18" s="83" t="str">
        <x:v>James and succession</x:v>
      </x:c>
      <x:c r="E18" s="83" t="str">
        <x:v>Reading the passage is not a completed authenticity investigation or a license to transfer the death to another person.</x:v>
      </x:c>
      <x:c r="F18" s="83" t="str">
        <x:v>Josephus, Antiquities 20.200, Whiston translation</x:v>
      </x:c>
      <x:c r="G18" s="83" t="str">
        <x:v>Consulted the individual paragraph directly: James, the relational identification, and the Festus-Albinus interval. No new authenticity adjudication, identification of an interpolator, or independent calendar reconstruction is claimed.</x:v>
      </x:c>
      <x:c r="H18" s="83" t="str">
        <x:v>https://lexundria.com/j_aj/20.200/wst</x:v>
      </x:c>
      <x:c r="I18" s="83" t="str">
        <x:v>josephus-antiquities / jt-death</x:v>
      </x:c>
      <x:c r="J18" s="83" t="str">
        <x:v>Specify whether a challenge concerns wording, personal identity, succession or the larger biographical frame.</x:v>
      </x:c>
    </x:row>
    <x:row r="19" ht="120" customHeight="1">
      <x:c r="A19" s="83" t="str">
        <x:v>Law, Creator and opposition to Paul</x:v>
      </x:c>
      <x:c r="B19" s="83" t="str">
        <x:v>Against Heresies 1.26.2</x:v>
      </x:c>
      <x:c r="C19" s="83" t="str">
        <x:v>The description combines law observance and opposition to Paul with Creator affirmation.</x:v>
      </x:c>
      <x:c r="D19" s="83" t="str">
        <x:v>James and succession</x:v>
      </x:c>
      <x:c r="E19" s="83" t="str">
        <x:v>A hostile external category is not a timeless self-description or automatically a creator-rejecting cosmology.</x:v>
      </x:c>
      <x:c r="F19" s="83" t="str">
        <x:v>Irenaeus, Against Heresies 1.26.2, Roberts-Rambaut translation</x:v>
      </x:c>
      <x:c r="G19" s="83" t="str">
        <x:v>Consulted the translated Ebionite description, including Matthew, opposition to Paul, law observance and Creator affirmation. This is a hostile classifier, not a surviving membership statement from all groups given the name.</x:v>
      </x:c>
      <x:c r="H19" s="83" t="str">
        <x:v>https://www.newadvent.org/fathers/0103126.htm</x:v>
      </x:c>
      <x:c r="I19" s="83" t="str">
        <x:v>irenaeus / jt-ebionites-irenaeus</x:v>
      </x:c>
      <x:c r="J19" s="83" t="str">
        <x:v>Identify which features could persist and which would require a demonstrable transformation.</x:v>
      </x:c>
    </x:row>
    <x:row r="20" ht="120" customHeight="1">
      <x:c r="A20" s="83" t="str">
        <x:v>Differences inside an inherited label</x:v>
      </x:c>
      <x:c r="B20" s="83" t="str">
        <x:v>Church History 3.27.1-6</x:v>
      </x:c>
      <x:c r="C20" s="83" t="str">
        <x:v>Eusebius distinguishes views among those labeled Ebionites and reports use of a Hebrews gospel.</x:v>
      </x:c>
      <x:c r="D20" s="83" t="str">
        <x:v>James and succession</x:v>
      </x:c>
      <x:c r="E20" s="83" t="str">
        <x:v>The reported gospel title is not automatically an identification of a surviving manuscript or Irenaeus's Matthew.</x:v>
      </x:c>
      <x:c r="F20" s="83" t="str">
        <x:v>Eusebius, Church History 3.27, McGiffert translation</x:v>
      </x:c>
      <x:c r="G20" s="83" t="str">
        <x:v>Consulted chapter 27 on the categories called Ebionites. An external polemical classification with internal distinctions, not an unmediated self-description or catalogue identification of an extant Hebrews gospel.</x:v>
      </x:c>
      <x:c r="H20" s="83" t="str">
        <x:v>https://www.newadvent.org/fathers/250103.htm</x:v>
      </x:c>
      <x:c r="I20" s="83" t="str">
        <x:v>eusebius / jt-ebionites-eusebius</x:v>
      </x:c>
      <x:c r="J20" s="83" t="str">
        <x:v>Compare the classifiers' access and purposes before combining their descriptions.</x:v>
      </x:c>
    </x:row>
    <x:row r="21" ht="120" customHeight="1">
      <x:c r="A21" s="83" t="str">
        <x:v>James as the communal destination</x:v>
      </x:c>
      <x:c r="B21" s="83" t="str">
        <x:v>Gospel of Thomas 12</x:v>
      </x:c>
      <x:c r="C21" s="83" t="str">
        <x:v>The disciples are directed toward James after Jesus's departure.</x:v>
      </x:c>
      <x:c r="D21" s="83" t="str">
        <x:v>Thomas and formation</x:v>
      </x:c>
      <x:c r="E21" s="83" t="str">
        <x:v>The saying does not supply a calendar date or an explicit ritual of appointing a replacement Christ.</x:v>
      </x:c>
      <x:c r="F21" s="83" t="str">
        <x:v>Gospel of Thomas, translation by Stephen Patterson and Marvin Meyer</x:v>
      </x:c>
      <x:c r="G21" s="83" t="str">
        <x:v>Translation consulted for sayings 1, 3, 12, 13, 39 and 108. The edition uses brief paraphrases and links, not a reproduction of the translation. Translation credit is distinct from an acknowledged influence in the author's older conversations.</x:v>
      </x:c>
      <x:c r="H21" s="83" t="str">
        <x:v>https://www.earlychristianwritings.com/text/thomas-scholars.html</x:v>
      </x:c>
      <x:c r="I21" s="83" t="str">
        <x:v>thomas-coptic / jt-thomas-james</x:v>
      </x:c>
      <x:c r="J21" s="83" t="str">
        <x:v>Compare communal authority with the different authority attributed to Thomas in the next saying.</x:v>
      </x:c>
    </x:row>
    <x:row r="22" ht="120" customHeight="1">
      <x:c r="A22" s="83" t="str">
        <x:v>Thomas and the private exchange</x:v>
      </x:c>
      <x:c r="B22" s="83" t="str">
        <x:v>Gospel of Thomas 13</x:v>
      </x:c>
      <x:c r="C22" s="83" t="str">
        <x:v>Thomas receives a private exchange and withholds its sayings from the others.</x:v>
      </x:c>
      <x:c r="D22" s="83" t="str">
        <x:v>Thomas and formation</x:v>
      </x:c>
      <x:c r="E22" s="83" t="str">
        <x:v>The passage does not explicitly instruct recruitment of twelve strangers or repeated biographical reenactment.</x:v>
      </x:c>
      <x:c r="F22" s="83" t="str">
        <x:v>Gospel of Thomas, translation by Stephen Patterson and Marvin Meyer</x:v>
      </x:c>
      <x:c r="G22" s="83" t="str">
        <x:v>Translation consulted for sayings 1, 3, 12, 13, 39 and 108. The edition uses brief paraphrases and links, not a reproduction of the translation. Translation credit is distinct from an acknowledged influence in the author's older conversations.</x:v>
      </x:c>
      <x:c r="H22" s="83" t="str">
        <x:v>https://www.earlychristianwritings.com/text/thomas-scholars.html</x:v>
      </x:c>
      <x:c r="I22" s="83" t="str">
        <x:v>thomas-coptic / jt-thomas-private</x:v>
      </x:c>
      <x:c r="J22" s="83" t="str">
        <x:v>State how the succession-through-teaching proposal extends beyond the surviving narrative.</x:v>
      </x:c>
    </x:row>
    <x:row r="23" ht="120" customHeight="1">
      <x:c r="A23" s="83" t="str">
        <x:v>Interpretation changes the recipient</x:v>
      </x:c>
      <x:c r="B23" s="83" t="str">
        <x:v>Gospel of Thomas 1, 3 and 108</x:v>
      </x:c>
      <x:c r="C23" s="83" t="str">
        <x:v>Life through interpretation, self-knowledge and transformation motivate a formation-oriented reading.</x:v>
      </x:c>
      <x:c r="D23" s="83" t="str">
        <x:v>Thomas and formation</x:v>
      </x:c>
      <x:c r="E23" s="83" t="str">
        <x:v>These translated passages are not measurements or ancient formulations of neural phase dynamics.</x:v>
      </x:c>
      <x:c r="F23" s="83" t="str">
        <x:v>Gospel of Thomas, translation by Stephen Patterson and Marvin Meyer</x:v>
      </x:c>
      <x:c r="G23" s="83" t="str">
        <x:v>Translation consulted for sayings 1, 3, 12, 13, 39 and 108. The edition uses brief paraphrases and links, not a reproduction of the translation. Translation credit is distinct from an acknowledged influence in the author's older conversations.</x:v>
      </x:c>
      <x:c r="H23" s="83" t="str">
        <x:v>https://www.earlychristianwritings.com/text/thomas-scholars.html</x:v>
      </x:c>
      <x:c r="I23" s="83" t="str">
        <x:v>thomas-coptic / jt-thomas-formation</x:v>
      </x:c>
      <x:c r="J23" s="83" t="str">
        <x:v>Distinguish repeated belief from an operative change in perception, motives and choice.</x:v>
      </x:c>
    </x:row>
    <x:row r="24" ht="120" customHeight="1">
      <x:c r="A24" s="83" t="str">
        <x:v>Blocked access to knowledge in Thomas</x:v>
      </x:c>
      <x:c r="B24" s="83" t="str">
        <x:v>Gospel of Thomas 39</x:v>
      </x:c>
      <x:c r="C24" s="83" t="str">
        <x:v>The saying criticizes authorities who prevent entry to knowledge.</x:v>
      </x:c>
      <x:c r="D24" s="83" t="str">
        <x:v>Thomas and formation</x:v>
      </x:c>
      <x:c r="E24" s="83" t="str">
        <x:v>A shared criticism does not settle literary direction or the identity of a displaced priestly institution.</x:v>
      </x:c>
      <x:c r="F24" s="83" t="str">
        <x:v>Gospel of Thomas, translation by Stephen Patterson and Marvin Meyer</x:v>
      </x:c>
      <x:c r="G24" s="83" t="str">
        <x:v>Translation consulted for sayings 1, 3, 12, 13, 39 and 108. The edition uses brief paraphrases and links, not a reproduction of the translation. Translation credit is distinct from an acknowledged influence in the author's older conversations.</x:v>
      </x:c>
      <x:c r="H24" s="83" t="str">
        <x:v>https://www.earlychristianwritings.com/text/thomas-scholars.html</x:v>
      </x:c>
      <x:c r="I24" s="83" t="str">
        <x:v>thomas-coptic / jt-thomas-keys</x:v>
      </x:c>
      <x:c r="J24" s="83" t="str">
        <x:v>Compare the operation of gatekeeping with Luke and proposed historical carriers.</x:v>
      </x:c>
    </x:row>
    <x:row r="25" ht="120" customHeight="1">
      <x:c r="A25" s="83" t="str">
        <x:v>Blocked access to knowledge in Luke</x:v>
      </x:c>
      <x:c r="B25" s="83" t="str">
        <x:v>Luke 11:52</x:v>
      </x:c>
      <x:c r="C25" s="83" t="str">
        <x:v>A related accusation concerns experts who obstruct entry.</x:v>
      </x:c>
      <x:c r="D25" s="83" t="str">
        <x:v>Thomas and formation</x:v>
      </x:c>
      <x:c r="E25" s="83" t="str">
        <x:v>The relationship to Thomas can have more than one explanation.</x:v>
      </x:c>
      <x:c r="F25" s="83" t="str">
        <x:v>Luke 11:52, World English Bible</x:v>
      </x:c>
      <x:c r="G25" s="83" t="str">
        <x:v>Primary translated passage for the criticism of obstructed access to knowledge. A thematic and functional comparison with Thomas 39, not a demonstrated direction of literary dependence.</x:v>
      </x:c>
      <x:c r="H25" s="83" t="str">
        <x:v>https://ebible.org/engwebp/LUK11.htm</x:v>
      </x:c>
      <x:c r="I25" s="83" t="str">
        <x:v>luke / jt-luke-keys</x:v>
      </x:c>
      <x:c r="J25" s="83" t="str">
        <x:v>Compare shared tradition, dependence and separate adaptation before selecting a transmission route.</x:v>
      </x:c>
    </x:row>
    <x:row r="26" ht="120" customHeight="1">
      <x:c r="A26" s="83" t="str">
        <x:v>Non-material brotherhood in a James revelation</x:v>
      </x:c>
      <x:c r="B26" s="83" t="str">
        <x:v>First Apocalypse of James, opening exchange</x:v>
      </x:c>
      <x:c r="C26" s="83" t="str">
        <x:v>The opening explicitly distinguishes its brother language from material kinship.</x:v>
      </x:c>
      <x:c r="D26" s="83" t="str">
        <x:v>Thomas and formation</x:v>
      </x:c>
      <x:c r="E26" s="83" t="str">
        <x:v>This is a different text and setting from Galatians; direct page retrieval was unavailable and the opening was consulted through indexed translation.</x:v>
      </x:c>
      <x:c r="F26" s="83" t="str">
        <x:v>First Apocalypse of James, William R. Schoedel translation</x:v>
      </x:c>
      <x:c r="G26" s="83" t="str">
        <x:v>Consulted the opening distinction between material and spiritual brotherhood through the indexed translation. Direct page retrieval was unavailable during this intake. This is not a full-text review or a new Greek/Coptic collation.</x:v>
      </x:c>
      <x:c r="H26" s="83" t="str">
        <x:v>https://www.gnosis.org/naghamm/1ja.html</x:v>
      </x:c>
      <x:c r="I26" s="83" t="str">
        <x:v>first-apocalypse-james / jt-spiritual-brother</x:v>
      </x:c>
      <x:c r="J26" s="83" t="str">
        <x:v>Test the meaning of each relational claim rather than moving a definition unchanged between genres.</x:v>
      </x:c>
    </x:row>
    <x:row r="27" ht="120" customHeight="1">
      <x:c r="A27" s="83" t="str">
        <x:v>The actual coverage of partial Greek witnesses</x:v>
      </x:c>
      <x:c r="B27" s="83" t="str">
        <x:v>Published extract, description of P.Oxy. 1 and P.Oxy. 655</x:v>
      </x:c>
      <x:c r="C27" s="83" t="str">
        <x:v>The extract specifies partial saying coverage rather than a complete Greek collection.</x:v>
      </x:c>
      <x:c r="D27" s="83" t="str">
        <x:v>Textual witnesses</x:v>
      </x:c>
      <x:c r="E27" s="83" t="str">
        <x:v>The full article, line-41 proposal and manuscript images were not reviewed here.</x:v>
      </x:c>
      <x:c r="F27" s="83" t="str">
        <x:v>Simon Gathercole, A Proposed Rereading of P.Oxy. 654 line 41 (Gos. Thom. 7), 2006</x:v>
      </x:c>
      <x:c r="G27" s="83" t="str">
        <x:v>Consulted the Cambridge-published extract describing the partial Greek Thomas witnesses P.Oxy. 1 and P.Oxy. 655. The full article and proposed line-41 rereading were not reviewed; its witness description does not date the complete Coptic collection.</x:v>
      </x:c>
      <x:c r="H27" s="83" t="str">
        <x:v>https://doi.org/10.1017/S0017816006001283</x:v>
      </x:c>
      <x:c r="I27" s="83" t="str">
        <x:v>gathercole-2006 / jt-greek-thomas</x:v>
      </x:c>
      <x:c r="J27" s="83" t="str">
        <x:v>Collate the witness containing each relevant saying before using a copy date for an entire collection.</x:v>
      </x:c>
    </x:row>
    <x:row r="28" ht="120" customHeight="1">
      <x:c r="A28" s="83" t="str">
        <x:v>A copied James revelation and proposed educational use</x:v>
      </x:c>
      <x:c r="B28" s="83" t="str">
        <x:v>University of Texas announcement, November 29, 2017</x:v>
      </x:c>
      <x:c r="C28" s="83" t="str">
        <x:v>The researchers report fifth/sixth-century Greek fragments and infer educational use from syllabic divisions.</x:v>
      </x:c>
      <x:c r="D28" s="83" t="str">
        <x:v>Textual witnesses</x:v>
      </x:c>
      <x:c r="E28" s="83" t="str">
        <x:v>This is a reported First Apocalypse of James witness, not Thomas or a genealogical record; image rights remain with the named owner.</x:v>
      </x:c>
      <x:c r="F28" s="83" t="str">
        <x:v>University of Texas, Smith and Landau report Greek First Apocalypse of James fragments, 2017</x:v>
      </x:c>
      <x:c r="G28" s="83" t="str">
        <x:v>Institutional report of the researchers' discovery, published November 29, 2017. Fifth/sixth-century dating and possible educational use are reported interpretations. The later critical edition and physical fragments were not independently inspected. The report assigns fragment and image rights to the Egypt Exploration Society.</x:v>
      </x:c>
      <x:c r="H28" s="83" t="str">
        <x:v>https://news.utexas.edu/2017/11/29/ut-austin-professors-discover-copy-of-jesus-secret-teaching/</x:v>
      </x:c>
      <x:c r="I28" s="83" t="str">
        <x:v>ut-james-2017 / jt-greek-james</x:v>
      </x:c>
      <x:c r="J28" s="83" t="str">
        <x:v>Review the critical publication and competing explanations of the scribal format.</x:v>
      </x:c>
    </x:row>
    <x:row r="29" ht="120" customHeight="1">
      <x:c r="A29" s="83" t="str">
        <x:v>An earlier James and visionary-reading comparison</x:v>
      </x:c>
      <x:c r="B29" s="83" t="str">
        <x:v>The Gospel of Thomas and the Hermeneutics of Vision, 2002 essay</x:v>
      </x:c>
      <x:c r="C29" s="83" t="str">
        <x:v>Owens connects James, apocalyptic inheritance and transformation of the interpreter.</x:v>
      </x:c>
      <x:c r="D29" s="83" t="str">
        <x:v>Interpretive research</x:v>
      </x:c>
      <x:c r="E29" s="83" t="str">
        <x:v>The comparison is not a demonstrated genealogy or a documented influence on the older conversations.</x:v>
      </x:c>
      <x:c r="F29" s="83" t="str">
        <x:v>Lance S. Owens, The Gospel of Thomas and the Hermeneutics of Vision, 2002</x:v>
      </x:c>
      <x:c r="G29" s="83" t="str">
        <x:v>Earlier interpretive essay, copyright 2002, consulted through indexed text. Credits the James/apocalyptic/transformative-reading comparison without adopting all historical assertions or claiming a demonstrated chain to Kabbalah. This is a newly consulted comparison, not a documented personal influence on the older conversations.</x:v>
      </x:c>
      <x:c r="H29" s="83" t="str">
        <x:v>https://www.gnosis.org/naghamm/gth_hermen.htm</x:v>
      </x:c>
      <x:c r="I29" s="83" t="str">
        <x:v>owens-2002 / jt-owens-vision</x:v>
      </x:c>
      <x:c r="J29" s="83" t="str">
        <x:v>Credit the preceding interpretation and distinguish the additional earlier-founder chronological claim.</x:v>
      </x:c>
    </x:row>
    <x:row r="30" ht="120" customHeight="1">
      <x:c r="A30" s="83" t="str">
        <x:v>Daniel 9:24-27</x:v>
      </x:c>
      <x:c r="B30" s="83" t="str">
        <x:v>Daniel 9:24-27</x:v>
      </x:c>
      <x:c r="C30" s="83" t="str">
        <x:v>Seven weeks, 62 weeks and a final week require explicit event assignments.</x:v>
      </x:c>
      <x:c r="D30" s="83" t="str">
        <x:v>Priesthood and prophetic time</x:v>
      </x:c>
      <x:c r="E30" s="83" t="str">
        <x:v>A numerical sequence alone does not identify its persons or choose a modern calendar anchor.</x:v>
      </x:c>
      <x:c r="F30" s="83" t="str">
        <x:v>Daniel 9, World English Bible</x:v>
      </x:c>
      <x:c r="G30" s="83" t="str">
        <x:v>Primary translated chapter consulted, especially verses 2, 15, 17 and 24-27. Exodus, sanctuary, desolation and restoration remain separate from any proposed absolute-year calculation.</x:v>
      </x:c>
      <x:c r="H30" s="83" t="str">
        <x:v>https://ebible.org/engwebp/DAN09.htm</x:v>
      </x:c>
      <x:c r="I30" s="83" t="str">
        <x:v>daniel / pt-daniel-order</x:v>
      </x:c>
      <x:c r="J30" s="83" t="str">
        <x:v>State the beginning event and which anointed figure belongs to each interval.</x:v>
      </x:c>
    </x:row>
    <x:row r="31" ht="120" customHeight="1">
      <x:c r="A31" s="83" t="str">
        <x:v>CD 1:3-11, as discussed in Collins section J</x:v>
      </x:c>
      <x:c r="B31" s="83" t="str">
        <x:v>CD 1:3-11, as discussed in Collins section J</x:v>
      </x:c>
      <x:c r="C31" s="83" t="str">
        <x:v>390 years followed by 20 precede the Teacher's appearance in the discussed chronology.</x:v>
      </x:c>
      <x:c r="D31" s="83" t="str">
        <x:v>Priesthood and prophetic time</x:v>
      </x:c>
      <x:c r="E31" s="83" t="str">
        <x:v>A chosen 586 BCE anchor yields an illustrative 176 BCE appearance, not a date inscribed in the text.</x:v>
      </x:c>
      <x:c r="F31" s="83" t="str">
        <x:v>John J. Collins, The Dead Sea Scrolls (Anchor Bible Dictionary, 1992)</x:v>
      </x:c>
      <x:c r="G31" s="83" t="str">
        <x:v>Sections C and J of the full online reproduction consulted for CD 1, CD 20:15, and household rules at CD 7:6-7. The 40-year Teacher career is a reconstructed interval. This is a dated scholarly interpretation, not a new Hebrew collation or current manuscript inventory.</x:v>
      </x:c>
      <x:c r="H31" s="83" t="str">
        <x:v>https://cojs.org/the_dead_sea_scrolls-_john_j-_collins-_anchor_bible_dictionary_-ed-_david_noel_freedman-_doubleday-_ny-_1992-_vol-2-_p-85-101/</x:v>
      </x:c>
      <x:c r="I31" s="83" t="str">
        <x:v>collins-damascus / pt-cd-appearance</x:v>
      </x:c>
      <x:c r="J31" s="83" t="str">
        <x:v>Collate the Hebrew witness and evaluate independent anchoring evidence.</x:v>
      </x:c>
    </x:row>
    <x:row r="32" ht="120" customHeight="1">
      <x:c r="A32" s="83" t="str">
        <x:v>CD 20:15 and Collins section J</x:v>
      </x:c>
      <x:c r="B32" s="83" t="str">
        <x:v>CD 20:15 and Collins section J</x:v>
      </x:c>
      <x:c r="C32" s="83" t="str">
        <x:v>The reconstructed 40-year career completes 390 + 20 + 40 + 40 = 490.</x:v>
      </x:c>
      <x:c r="D32" s="83" t="str">
        <x:v>Priesthood and prophetic time</x:v>
      </x:c>
      <x:c r="E32" s="83" t="str">
        <x:v>The career interval is supplied; it must not be labeled as directly attested like the other intervals.</x:v>
      </x:c>
      <x:c r="F32" s="83" t="str">
        <x:v>John J. Collins, The Dead Sea Scrolls (Anchor Bible Dictionary, 1992)</x:v>
      </x:c>
      <x:c r="G32" s="83" t="str">
        <x:v>Sections C and J of the full online reproduction consulted for CD 1, CD 20:15, and household rules at CD 7:6-7. The 40-year Teacher career is a reconstructed interval. This is a dated scholarly interpretation, not a new Hebrew collation or current manuscript inventory.</x:v>
      </x:c>
      <x:c r="H32" s="83" t="str">
        <x:v>https://cojs.org/the_dead_sea_scrolls-_john_j-_collins-_anchor_bible_dictionary_-ed-_david_noel_freedman-_doubleday-_ny-_1992-_vol-2-_p-85-101/</x:v>
      </x:c>
      <x:c r="I32" s="83" t="str">
        <x:v>collins-damascus / pt-cd-career</x:v>
      </x:c>
      <x:c r="J32" s="83" t="str">
        <x:v>Compare proposed career, office and generation interpretations before identifying a death.</x:v>
      </x:c>
    </x:row>
    <x:row r="33" ht="120" customHeight="1">
      <x:c r="A33" s="83" t="str">
        <x:v>11Q13 II 6-7 in Williams's translation and discussion</x:v>
      </x:c>
      <x:c r="B33" s="83" t="str">
        <x:v>11Q13 II 6-7 in Williams's translation and discussion</x:v>
      </x:c>
      <x:c r="C33" s="83" t="str">
        <x:v>Williams adopts a reading placing liberation at the beginning of the cycle after ten jubilees.</x:v>
      </x:c>
      <x:c r="D33" s="83" t="str">
        <x:v>Priesthood and prophetic time</x:v>
      </x:c>
      <x:c r="E33" s="83" t="str">
        <x:v>The older tenth-jubilee reading remains a distinct restoration; neither fixes a Teacher identity or a BCE date.</x:v>
      </x:c>
      <x:c r="F33" s="83" t="str">
        <x:v>Logan Williams (2023), Melchizedek, the Son of Man, and Eschatological Jubilee</x:v>
      </x:c>
      <x:c r="G33" s="83" t="str">
        <x:v>Full-text HTML consulted, particularly the author's translation of 11Q13 II 2-9 and discussion of II 6 and 13. His active-agent reading is distinguished from the critical edition he disputes. The critical edition itself has not been collated in this pass. This is current editorial research, not a recovered author acknowledgment.</x:v>
      </x:c>
      <x:c r="H33" s="83" t="str">
        <x:v>https://journals.sagepub.com/doi/10.1177/0142064X231191176</x:v>
      </x:c>
      <x:c r="I33" s="83" t="str">
        <x:v>williams-melchizedek / pt-jubilee</x:v>
      </x:c>
      <x:c r="J33" s="83" t="str">
        <x:v>Independently collate II 6-7 and II 18 against the critical edition and photographs.</x:v>
      </x:c>
    </x:row>
    <x:row r="34" ht="120" customHeight="1">
      <x:c r="A34" s="83" t="str">
        <x:v>Published abstract, DOI 10.31743/vv.1935</x:v>
      </x:c>
      <x:c r="B34" s="83" t="str">
        <x:v>Published abstract, DOI 10.31743/vv.1935</x:v>
      </x:c>
      <x:c r="C34" s="83" t="str">
        <x:v>364-day and 365-day idealized units differ by 490 days across 490 years.</x:v>
      </x:c>
      <x:c r="D34" s="83" t="str">
        <x:v>Priesthood and prophetic time</x:v>
      </x:c>
      <x:c r="E34" s="83" t="str">
        <x:v>This is not a model of practical intercalation and cannot alone shift a chronology by a century.</x:v>
      </x:c>
      <x:c r="F34" s="83" t="str">
        <x:v>Michal Jaroslaw Klukowski, The Tradition of the 364-Day Year in Second Temple Period Judaism</x:v>
      </x:c>
      <x:c r="G34" s="83" t="str">
        <x:v>Published scholarly abstract consulted for the 364-day schematic-year tradition and its relationship to calendrical texts. No claim of full-paper review, a settled origin, or a proved practical intercalation scheme is made.</x:v>
      </x:c>
      <x:c r="H34" s="83" t="str">
        <x:v>https://czasopisma.kul.pl/index.php/vv/article/view/1935</x:v>
      </x:c>
      <x:c r="I34" s="83" t="str">
        <x:v>priests-calendar / pt-calendar</x:v>
      </x:c>
      <x:c r="J34" s="83" t="str">
        <x:v>Distinguish calendar operation from the count's chosen historical starting event.</x:v>
      </x:c>
    </x:row>
    <x:row r="35" ht="120" customHeight="1">
      <x:c r="A35" s="83" t="str">
        <x:v>Antiquities 13.3.1-3</x:v>
      </x:c>
      <x:c r="B35" s="83" t="str">
        <x:v>Antiquities 13.3.1-3</x:v>
      </x:c>
      <x:c r="C35" s="83" t="str">
        <x:v>The account supplies royal permission, priests and Levites, and a scriptural argument for a sanctuary in Egypt.</x:v>
      </x:c>
      <x:c r="D35" s="83" t="str">
        <x:v>Priesthood and prophetic time</x:v>
      </x:c>
      <x:c r="E35" s="83" t="str">
        <x:v>Reported correspondence is not an independently inspected original royal document.</x:v>
      </x:c>
      <x:c r="F35" s="83" t="str">
        <x:v>Josephus, Antiquities 13.3.1-3, 13.10.4 and 13.13.2, Whiston translation</x:v>
      </x:c>
      <x:c r="G35" s="83" t="str">
        <x:v>Primary translated passages consulted for the sanctuary, royal petition and permission, Onias's sons Chelcias and Ananias, and Ananias's counsel concerning Alexander. Strabo is encountered through Josephus's quotation, not as an independently inspected document. These relations do not establish subsequent Teacher or Gnostic transmission.</x:v>
      </x:c>
      <x:c r="H35" s="83" t="str">
        <x:v>https://penelope.uchicago.edu/josephus/ant-13.html</x:v>
      </x:c>
      <x:c r="I35" s="83" t="str">
        <x:v>josephus-antiquities / pt-sanctuary</x:v>
      </x:c>
      <x:c r="J35" s="83" t="str">
        <x:v>Compare the Greek text, the identity of the founder and competing foundation dates.</x:v>
      </x:c>
    </x:row>
    <x:row r="36" ht="120" customHeight="1">
      <x:c r="A36" s="83" t="str">
        <x:v>Antiquities 13.10.4 and 13.13.2</x:v>
      </x:c>
      <x:c r="B36" s="83" t="str">
        <x:v>Antiquities 13.10.4 and 13.13.2</x:v>
      </x:c>
      <x:c r="C36" s="83" t="str">
        <x:v>Chelcias and Ananias are identified as sons of the founder; Ananias defends Alexander against a proposed dispossession.</x:v>
      </x:c>
      <x:c r="D36" s="83" t="str">
        <x:v>Priesthood and prophetic time</x:v>
      </x:c>
      <x:c r="E36" s="83" t="str">
        <x:v>This supplies candidate carriers and contact, not proof of Essene affiliation or Thomas transmission.</x:v>
      </x:c>
      <x:c r="F36" s="83" t="str">
        <x:v>Josephus, Antiquities 13.3.1-3, 13.10.4 and 13.13.2, Whiston translation</x:v>
      </x:c>
      <x:c r="G36" s="83" t="str">
        <x:v>Primary translated passages consulted for the sanctuary, royal petition and permission, Onias's sons Chelcias and Ananias, and Ananias's counsel concerning Alexander. Strabo is encountered through Josephus's quotation, not as an independently inspected document. These relations do not establish subsequent Teacher or Gnostic transmission.</x:v>
      </x:c>
      <x:c r="H36" s="83" t="str">
        <x:v>https://penelope.uchicago.edu/josephus/ant-13.html</x:v>
      </x:c>
      <x:c r="I36" s="83" t="str">
        <x:v>josephus-antiquities / pt-sons</x:v>
      </x:c>
      <x:c r="J36" s="83" t="str">
        <x:v>Trace the family and institutional relations in independently supported evidence.</x:v>
      </x:c>
    </x:row>
    <x:row r="37" ht="120" customHeight="1">
      <x:c r="A37" s="83" t="str">
        <x:v>War 7.10.2-3 compared with Antiquities 13.3.1-3</x:v>
      </x:c>
      <x:c r="B37" s="83" t="str">
        <x:v>War 7.10.2-3 compared with Antiquities 13.3.1-3</x:v>
      </x:c>
      <x:c r="C37" s="83" t="str">
        <x:v>Parentage and architectural particulars differ across the two accounts.</x:v>
      </x:c>
      <x:c r="D37" s="83" t="str">
        <x:v>Priesthood and prophetic time</x:v>
      </x:c>
      <x:c r="E37" s="83" t="str">
        <x:v>Do not silently turn son of Simon and son of Onias into one agreed identification.</x:v>
      </x:c>
      <x:c r="F37" s="83" t="str">
        <x:v>Josephus, War 7.10.2-4, William Whiston translation</x:v>
      </x:c>
      <x:c r="G37" s="83" t="str">
        <x:v>Primary translated narrative consulted for the Onias sanctuary, different parentage and architectural description, support and closure under Lupus and Paulinus, and the transmitted 343-year duration. Editorial bracketed dates and Whiston notes are not words of the ancient narrative.</x:v>
      </x:c>
      <x:c r="H37" s="83" t="str">
        <x:v>https://penelope.uchicago.edu/josephus/war-7.html</x:v>
      </x:c>
      <x:c r="I37" s="83" t="str">
        <x:v>josephus-war / pt-conflict</x:v>
      </x:c>
      <x:c r="J37" s="83" t="str">
        <x:v>Record variant readings, authorial development and competing historical explanations.</x:v>
      </x:c>
    </x:row>
    <x:row r="38" ht="120" customHeight="1">
      <x:c r="A38" s="83" t="str">
        <x:v>War 7.10.4</x:v>
      </x:c>
      <x:c r="B38" s="83" t="str">
        <x:v>War 7.10.4</x:v>
      </x:c>
      <x:c r="C38" s="83" t="str">
        <x:v>Lupus and Paulinus restrict the sanctuary; the transmitted duration is 343 years.</x:v>
      </x:c>
      <x:c r="D38" s="83" t="str">
        <x:v>Priesthood and prophetic time</x:v>
      </x:c>
      <x:c r="E38" s="83" t="str">
        <x:v>No precise foundation or closure date is adopted from this inconsistent duration.</x:v>
      </x:c>
      <x:c r="F38" s="83" t="str">
        <x:v>Josephus, War 7.10.2-4, William Whiston translation</x:v>
      </x:c>
      <x:c r="G38" s="83" t="str">
        <x:v>Primary translated narrative consulted for the Onias sanctuary, different parentage and architectural description, support and closure under Lupus and Paulinus, and the transmitted 343-year duration. Editorial bracketed dates and Whiston notes are not words of the ancient narrative.</x:v>
      </x:c>
      <x:c r="H38" s="83" t="str">
        <x:v>https://penelope.uchicago.edu/josephus/war-7.html</x:v>
      </x:c>
      <x:c r="I38" s="83" t="str">
        <x:v>josephus-war / pt-closure</x:v>
      </x:c>
      <x:c r="J38" s="83" t="str">
        <x:v>Investigate contacts before closure and possible dispersed institutions afterward.</x:v>
      </x:c>
    </x:row>
    <x:row r="39" ht="120" customHeight="1">
      <x:c r="A39" s="83" t="str">
        <x:v>War 2.8.13; compare CD 7:6-7 through Collins</x:v>
      </x:c>
      <x:c r="B39" s="83" t="str">
        <x:v>War 2.8.13; compare CD 7:6-7 through Collins</x:v>
      </x:c>
      <x:c r="C39" s="83" t="str">
        <x:v>Josephus describes a marrying Essene order concerned with succession.</x:v>
      </x:c>
      <x:c r="D39" s="83" t="str">
        <x:v>Priesthood and prophetic time</x:v>
      </x:c>
      <x:c r="E39" s="83" t="str">
        <x:v>A wider household population does not establish the proposed demographic split or identify every community.</x:v>
      </x:c>
      <x:c r="F39" s="83" t="str">
        <x:v>Josephus, War 2.8.13, William Whiston translation</x:v>
      </x:c>
      <x:c r="G39" s="83" t="str">
        <x:v>Primary translated passage consulted for the marrying Essene order and its concern with succession. It is not a roster of the households or branches proposed in this reconstruction.</x:v>
      </x:c>
      <x:c r="H39" s="83" t="str">
        <x:v>https://penelope.uchicago.edu/josephus/war-2.html</x:v>
      </x:c>
      <x:c r="I39" s="83" t="str">
        <x:v>josephus-war / pt-households</x:v>
      </x:c>
      <x:c r="J39" s="83" t="str">
        <x:v>Compare household rules, actual names and institutional practice without a uniform celibate stereotype.</x:v>
      </x:c>
    </x:row>
    <x:row r="40" ht="120" customHeight="1">
      <x:c r="A40" s="83" t="str">
        <x:v>Second Maccabees 4:33-38</x:v>
      </x:c>
      <x:c r="B40" s="83" t="str">
        <x:v>Second Maccabees 4:33-38</x:v>
      </x:c>
      <x:c r="C40" s="83" t="str">
        <x:v>The passage identifies relations around a priestly murder involving Onias and Andronicus.</x:v>
      </x:c>
      <x:c r="D40" s="83" t="str">
        <x:v>Priesthood and prophetic time</x:v>
      </x:c>
      <x:c r="E40" s="83" t="str">
        <x:v>The John-the-Baptist identification and a 20-year transition are additional claims.</x:v>
      </x:c>
      <x:c r="F40" s="83" t="str">
        <x:v>Second Maccabees 4:33-38, USCCB translation</x:v>
      </x:c>
      <x:c r="G40" s="83" t="str">
        <x:v>Primary translated passage consulted for the death of Onias, the roles of Andronicus and Menelaus, and the king's response. It does not itself identify John the Baptist or a 20-year interval to the Teacher.</x:v>
      </x:c>
      <x:c r="H40" s="83" t="str">
        <x:v>https://bible.usccb.org/bible/2maccabees/4</x:v>
      </x:c>
      <x:c r="I40" s="83" t="str">
        <x:v>priests-macc4 / pt-predecessor</x:v>
      </x:c>
      <x:c r="J40" s="83" t="str">
        <x:v>Compare narrative sequence and historical carriers, not merely a shared execution motif.</x:v>
      </x:c>
    </x:row>
    <x:row r="41" ht="120" customHeight="1">
      <x:c r="A41" s="83" t="str">
        <x:v>Published abstract, Scripta Classica Israelica 16 (1997), 47-70</x:v>
      </x:c>
      <x:c r="B41" s="83" t="str">
        <x:v>Published abstract, Scripta Classica Israelica 16 (1997), 47-70</x:v>
      </x:c>
      <x:c r="C41" s="83" t="str">
        <x:v>Gruen proposes mutual support rather than a simply rival sanctuary model.</x:v>
      </x:c>
      <x:c r="D41" s="83" t="str">
        <x:v>Priesthood and prophetic time</x:v>
      </x:c>
      <x:c r="E41" s="83" t="str">
        <x:v>Full-paper review and endorsement of the broader branch genealogy are not claimed.</x:v>
      </x:c>
      <x:c r="F41" s="83" t="str">
        <x:v>Erich S. Gruen, The Origins and Objectives of Onias' Temple (1997)</x:v>
      </x:c>
      <x:c r="G41" s="83" t="str">
        <x:v>Published abstract consulted. It challenges the conventional rival-temple account and proposes mutual support between Jerusalem and Leontopolis while noting problems in Josephus. The full article and its critical apparatus were not independently reviewed in this pass; publication is 1997, not the website upload date.</x:v>
      </x:c>
      <x:c r="H41" s="83" t="str">
        <x:v>https://scriptaclassica.org/index.php/sci/article/view/4239</x:v>
      </x:c>
      <x:c r="I41" s="83" t="str">
        <x:v>priests-gruen / pt-cooperation</x:v>
      </x:c>
      <x:c r="J41" s="83" t="str">
        <x:v>Consult the full critical discussion and compare its argument with the actual Josephus passages.</x:v>
      </x:c>
    </x:row>
  </x:sheetData>
  <x:mergeCells>
    <x:mergeCell ref="A1:H1"/>
    <x:mergeCell ref="A2:H3"/>
    <x:mergeCell ref="A5:H5"/>
  </x:mergeCells>
  <x:pageMargins left="0.7" right="0.7" top="0.75" bottom="0.75" header="0.3" footer="0.3"/>
  <x:tableParts count="1">
    <x:tablePart xmlns:r="http://schemas.openxmlformats.org/officeDocument/2006/relationships" r:id="R16d8bf625b794cf7"/>
  </x:tableParts>
</x:worksheet>
</file>

<file path=xl/worksheets/sheet7.xml><?xml version="1.0" encoding="utf-8"?>
<x:worksheet xmlns:x="http://schemas.openxmlformats.org/spreadsheetml/2006/main">
  <x:sheetFormatPr defaultRowHeight="15"/>
  <x:cols>
    <x:col min="1" max="1" width="38" hidden="0" customWidth="1"/>
    <x:col min="2" max="2" width="36" hidden="0" customWidth="1"/>
    <x:col min="3" max="3" width="55" hidden="0" customWidth="1"/>
    <x:col min="4" max="4" width="62" hidden="0" customWidth="1"/>
    <x:col min="5" max="5" width="40" hidden="0" customWidth="1"/>
    <x:col min="6" max="6" width="70" hidden="0" customWidth="1"/>
  </x:cols>
  <x:sheetData>
    <x:row r="1" ht="36" customHeight="1">
      <x:c r="A1" s="69" t="str">
        <x:v>Theology | Credit and source lineage</x:v>
      </x:c>
      <x:c r="B1" s="69"/>
      <x:c r="C1" s="69"/>
      <x:c r="D1" s="69"/>
      <x:c r="E1" s="69"/>
      <x:c r="F1" s="69"/>
    </x:row>
    <x:row r="2" ht="22" customHeight="1">
      <x:c r="A2" s="71" t="str">
        <x:v>An author acknowledgment, an edition-used translation, an AI-introduced lead and an independent scholarly argument are not interchangeable.</x:v>
      </x:c>
      <x:c r="B2" s="71"/>
      <x:c r="C2" s="71"/>
      <x:c r="D2" s="71"/>
      <x:c r="E2" s="71"/>
      <x:c r="F2" s="71"/>
    </x:row>
    <x:row r="3" ht="22" customHeight="1">
      <x:c r="A3" s="71"/>
      <x:c r="B3" s="71"/>
      <x:c r="C3" s="71"/>
      <x:c r="D3" s="71"/>
      <x:c r="E3" s="71"/>
      <x:c r="F3" s="71"/>
    </x:row>
    <x:row r="4">
      <x:c r="A4" s="2"/>
      <x:c r="B4" s="2"/>
      <x:c r="C4" s="2"/>
      <x:c r="D4" s="2"/>
      <x:c r="E4" s="2"/>
      <x:c r="F4" s="2"/>
    </x:row>
    <x:row r="5" ht="20" customHeight="1">
      <x:c r="A5" s="72" t="str">
        <x:v>Content edition: 2026.09.06-james-transmission-1</x:v>
      </x:c>
      <x:c r="B5" s="14"/>
      <x:c r="C5" s="14"/>
      <x:c r="D5" s="14"/>
      <x:c r="E5" s="14"/>
      <x:c r="F5" s="14"/>
    </x:row>
    <x:row r="6" ht="32" customHeight="1">
      <x:c r="A6" s="18" t="str">
        <x:v>Name</x:v>
      </x:c>
      <x:c r="B6" s="18" t="str">
        <x:v>Type of relationship</x:v>
      </x:c>
      <x:c r="C6" s="18" t="str">
        <x:v>Documented contribution</x:v>
      </x:c>
      <x:c r="D6" s="18" t="str">
        <x:v>Attribution boundary</x:v>
      </x:c>
      <x:c r="E6" s="18" t="str">
        <x:v>Original passages</x:v>
      </x:c>
      <x:c r="F6" s="18" t="str">
        <x:v>Source URLs</x:v>
      </x:c>
    </x:row>
    <x:row r="7" ht="64" customHeight="1">
      <x:c r="A7" s="23" t="str">
        <x:v>James D. Tabor</x:v>
      </x:c>
      <x:c r="B7" s="23" t="str">
        <x:v>Explicit author acknowledgment</x:v>
      </x:c>
      <x:c r="C7" s="23" t="str">
        <x:v>Paul and James, early Jesus movements, recurring prophetic interpretation and the wider Teacher inquiry.</x:v>
      </x:c>
      <x:c r="D7" s="23" t="str">
        <x:v>Acknowledgment is not proof that Tabor endorses the complete October reconstruction. Identify editions and page or recording locations before attributing a specific claim to him.</x:v>
      </x:c>
      <x:c r="E7" s="23" t="str">
        <x:v>paul-vs-james-movement: turn 1
paul-vs-james-movement: turn 59
who-was-josepheous: turn 33</x:v>
      </x:c>
      <x:c r="F7" s="23" t="str">
        <x:v>https://jamestabor.com/books/
https://jamestabor.com/a-shared-utopian-vision-enochians-essenes-ebionites-and-nazarenes/
https://jamestabor.com/ebionites-nazarenes-essenes-nasareans-sorting-out-the-names/</x:v>
      </x:c>
    </x:row>
    <x:row r="8" ht="64" customHeight="1">
      <x:c r="A8" s="23" t="str">
        <x:v>Aaron Abke and Abraham Hicks</x:v>
      </x:c>
      <x:c r="B8" s="23" t="str">
        <x:v>Teachers discussed in the source inquiry</x:v>
      </x:c>
      <x:c r="C8" s="23" t="str">
        <x:v>Comparisons involving faith, inward experience, spiritual vocabulary and the relation of different traditions.</x:v>
      </x:c>
      <x:c r="D8" s="23" t="str">
        <x:v>Discussion or influence is not wholesale endorsement and is not archaeological evidence. A user turn may contain quoted material.</x:v>
      </x:c>
      <x:c r="E8" s="23" t="str">
        <x:v>faith-as-vibration-concept: turn 29</x:v>
      </x:c>
      <x:c r="F8" s="23" t="str"/>
    </x:row>
    <x:row r="9" ht="64" customHeight="1">
      <x:c r="A9" s="23" t="str">
        <x:v>Stephen Patterson and Marvin Meyer</x:v>
      </x:c>
      <x:c r="B9" s="23" t="str">
        <x:v>Translation used in this edition</x:v>
      </x:c>
      <x:c r="C9" s="23" t="str">
        <x:v>Translation of Thomas used for the present passage comparisons.</x:v>
      </x:c>
      <x:c r="D9" s="23" t="str">
        <x:v>This credit records the edition's textual source. It does not retrospectively identify these translators as my personal influences.</x:v>
      </x:c>
      <x:c r="E9" s="23" t="str"/>
      <x:c r="F9" s="23" t="str">
        <x:v>https://www.earlychristianwritings.com/text/thomas-scholars.html</x:v>
      </x:c>
    </x:row>
    <x:row r="10" ht="64" customHeight="1">
      <x:c r="A10" s="23" t="str">
        <x:v>Gabriele Boccaccini</x:v>
      </x:c>
      <x:c r="B10" s="23" t="str">
        <x:v>AI-introduced research lead</x:v>
      </x:c>
      <x:c r="C10" s="23" t="str">
        <x:v>A name introduced in an AI response concerning Enochic and related historical connections.</x:v>
      </x:c>
      <x:c r="D10" s="23" t="str">
        <x:v>The originating response contains reference markers that have not been reconstructed. No particular work or conclusion is attributed as verified scholarship here.</x:v>
      </x:c>
      <x:c r="E10" s="23" t="str">
        <x:v>ai-re-dates-dead-sea-scrolls: turn 66</x:v>
      </x:c>
      <x:c r="F10" s="23" t="str"/>
    </x:row>
    <x:row r="11" ht="64" customHeight="1">
      <x:c r="A11" s="23" t="str">
        <x:v>Soren Giversen and Birger A. Pearson</x:v>
      </x:c>
      <x:c r="B11" s="23" t="str">
        <x:v>Translation used in this edition</x:v>
      </x:c>
      <x:c r="C11" s="23" t="str">
        <x:v>Online Melchizedek translation used in the new comparison.</x:v>
      </x:c>
      <x:c r="D11" s="23" t="str">
        <x:v>Not attributed as an earlier personal influence. Printed-edition collation is open.</x:v>
      </x:c>
      <x:c r="E11" s="23" t="str"/>
      <x:c r="F11" s="23" t="str">
        <x:v>https://www.gnosis.org/naghamm/melchiz.html</x:v>
      </x:c>
    </x:row>
    <x:row r="12" ht="64" customHeight="1">
      <x:c r="A12" s="23" t="str">
        <x:v>Logan Williams</x:v>
      </x:c>
      <x:c r="B12" s="23" t="str">
        <x:v>Current editorial scholarship</x:v>
      </x:c>
      <x:c r="C12" s="23" t="str">
        <x:v>2023 active-agent interpretation of 11Q13 II 6 and comparison with Mark.</x:v>
      </x:c>
      <x:c r="D12" s="23" t="str">
        <x:v>A consulted argument, not an author endorsement, independent manuscript collation, or proof of direct borrowing.</x:v>
      </x:c>
      <x:c r="E12" s="23" t="str"/>
      <x:c r="F12" s="23" t="str">
        <x:v>https://journals.sagepub.com/doi/10.1177/0142064X231191176</x:v>
      </x:c>
    </x:row>
    <x:row r="13" ht="120" customHeight="1">
      <x:c r="A13" s="84" t="str">
        <x:v>Lance S. Owens</x:v>
      </x:c>
      <x:c r="B13" s="84" t="str">
        <x:v>Newly consulted earlier interpretation</x:v>
      </x:c>
      <x:c r="C13" s="84" t="str">
        <x:v>The 2002 essay already connects Thomas, James, apocalyptic inheritance and transformation of the interpreter.</x:v>
      </x:c>
      <x:c r="D13" s="84" t="str">
        <x:v>Not a recovered personal acknowledgment from older conversations; no claim that the essay establishes the proposed earlier-founder chronology or a complete transmission chain to Kabbalah.</x:v>
      </x:c>
      <x:c r="E13" s="84" t="str">
        <x:v>Newly consulted; no original acknowledgment claimed</x:v>
      </x:c>
      <x:c r="F13" s="84" t="str">
        <x:v>https://www.gnosis.org/naghamm/gth_hermen.htm</x:v>
      </x:c>
    </x:row>
  </x:sheetData>
  <x:mergeCells>
    <x:mergeCell ref="A1:F1"/>
    <x:mergeCell ref="A2:F3"/>
    <x:mergeCell ref="A5:F5"/>
  </x:mergeCells>
  <x:pageMargins left="0.7" right="0.7" top="0.75" bottom="0.75" header="0.3" footer="0.3"/>
  <x:tableParts count="1">
    <x:tablePart xmlns:r="http://schemas.openxmlformats.org/officeDocument/2006/relationships" r:id="Rcf2b919920d64ddf"/>
  </x:tableParts>
</x:worksheet>
</file>

<file path=xl/worksheets/sheet8.xml><?xml version="1.0" encoding="utf-8"?>
<x:worksheet xmlns:x="http://schemas.openxmlformats.org/spreadsheetml/2006/main">
  <x:sheetFormatPr defaultRowHeight="15"/>
  <x:cols>
    <x:col min="1" max="1" width="14" hidden="0" customWidth="1"/>
    <x:col min="2" max="2" width="30" hidden="0" customWidth="1"/>
    <x:col min="3" max="3" width="90" hidden="0" customWidth="1"/>
    <x:col min="4" max="4" width="24" hidden="0" customWidth="1"/>
    <x:col min="5" max="5" width="58" hidden="0" customWidth="1"/>
  </x:cols>
  <x:sheetData>
    <x:row r="1" ht="36" customHeight="1">
      <x:c r="A1" s="69" t="str">
        <x:v>Theology | Readiness is evidence, not word count</x:v>
      </x:c>
      <x:c r="B1" s="69"/>
      <x:c r="C1" s="69"/>
      <x:c r="D1" s="69"/>
      <x:c r="E1" s="69"/>
    </x:row>
    <x:row r="2" ht="22" customHeight="1">
      <x:c r="A2" s="71" t="str">
        <x:v>These are whole-manuscript gates. A completed tool, article draft or word-count target does not pass them automatically.</x:v>
      </x:c>
      <x:c r="B2" s="71"/>
      <x:c r="C2" s="71"/>
      <x:c r="D2" s="71"/>
      <x:c r="E2" s="71"/>
    </x:row>
    <x:row r="3" ht="22" customHeight="1">
      <x:c r="A3" s="71"/>
      <x:c r="B3" s="71"/>
      <x:c r="C3" s="71"/>
      <x:c r="D3" s="71"/>
      <x:c r="E3" s="71"/>
    </x:row>
    <x:row r="4">
      <x:c r="A4" s="2"/>
      <x:c r="B4" s="2"/>
      <x:c r="C4" s="2"/>
      <x:c r="D4" s="2"/>
      <x:c r="E4" s="2"/>
    </x:row>
    <x:row r="5" ht="20" customHeight="1">
      <x:c r="A5" s="72" t="str">
        <x:v>Content edition: 2026.09.06-james-transmission-1</x:v>
      </x:c>
      <x:c r="B5" s="14"/>
      <x:c r="C5" s="14"/>
      <x:c r="D5" s="14"/>
      <x:c r="E5" s="14"/>
    </x:row>
    <x:row r="6" ht="32" customHeight="1">
      <x:c r="A6" s="18" t="str">
        <x:v>Gate ID</x:v>
      </x:c>
      <x:c r="B6" s="18" t="str">
        <x:v>Gate</x:v>
      </x:c>
      <x:c r="C6" s="18" t="str">
        <x:v>Acceptance evidence required</x:v>
      </x:c>
      <x:c r="D6" s="18" t="str">
        <x:v>Assessment</x:v>
      </x:c>
      <x:c r="E6" s="18" t="str">
        <x:v>Related tasks</x:v>
      </x:c>
    </x:row>
    <x:row r="7" ht="64" customHeight="1">
      <x:c r="A7" s="23" t="str">
        <x:v>G1</x:v>
      </x:c>
      <x:c r="B7" s="23" t="str">
        <x:v>Argument preservation</x:v>
      </x:c>
      <x:c r="C7" s="23" t="str">
        <x:v>Scope, mechanism, qualifications and rejected readings are preserved for each argument.</x:v>
      </x:c>
      <x:c r="D7" s="23" t="str">
        <x:v>Not assessed</x:v>
      </x:c>
      <x:c r="E7" s="23" t="str">
        <x:v>dossier-coverage</x:v>
      </x:c>
    </x:row>
    <x:row r="8" ht="64" customHeight="1">
      <x:c r="A8" s="23" t="str">
        <x:v>G2</x:v>
      </x:c>
      <x:c r="B8" s="23" t="str">
        <x:v>Source grounding</x:v>
      </x:c>
      <x:c r="C8" s="23" t="str">
        <x:v>Worked passages are linked to consulted editions, with differences and alternative accounts.</x:v>
      </x:c>
      <x:c r="D8" s="23" t="str">
        <x:v>Not assessed</x:v>
      </x:c>
      <x:c r="E8" s="23" t="str">
        <x:v>melchizedek; thomas-passages; temple-case</x:v>
      </x:c>
    </x:row>
    <x:row r="9" ht="64" customHeight="1">
      <x:c r="A9" s="23" t="str">
        <x:v>G3</x:v>
      </x:c>
      <x:c r="B9" s="23" t="str">
        <x:v>Historical layers</x:v>
      </x:c>
      <x:c r="C9" s="23" t="str">
        <x:v>Event, composition, manuscript and interpretation dates remain distinguishable.</x:v>
      </x:c>
      <x:c r="D9" s="23" t="str">
        <x:v>Not assessed</x:v>
      </x:c>
      <x:c r="E9" s="23" t="str">
        <x:v>tor-version; trauma</x:v>
      </x:c>
    </x:row>
    <x:row r="10" ht="64" customHeight="1">
      <x:c r="A10" s="23" t="str">
        <x:v>G4</x:v>
      </x:c>
      <x:c r="B10" s="23" t="str">
        <x:v>Attribution and rights</x:v>
      </x:c>
      <x:c r="C10" s="23" t="str">
        <x:v>Intellectual debts, quotations, source access and image rights are verified.</x:v>
      </x:c>
      <x:c r="D10" s="23" t="str">
        <x:v>Not assessed</x:v>
      </x:c>
      <x:c r="E10" s="23" t="str">
        <x:v>bibliography-rights</x:v>
      </x:c>
    </x:row>
    <x:row r="11" ht="64" customHeight="1">
      <x:c r="A11" s="23" t="str">
        <x:v>G5</x:v>
      </x:c>
      <x:c r="B11" s="23" t="str">
        <x:v>Authorial review</x:v>
      </x:c>
      <x:c r="C11" s="23" t="str">
        <x:v>I approve the actual chapter wording and the treatment of the arguments.</x:v>
      </x:c>
      <x:c r="D11" s="23" t="str">
        <x:v>Not assessed</x:v>
      </x:c>
      <x:c r="E11" s="23" t="str">
        <x:v>author-fidelity</x:v>
      </x:c>
    </x:row>
    <x:row r="12" ht="64" customHeight="1">
      <x:c r="A12" s="23" t="str">
        <x:v>G6</x:v>
      </x:c>
      <x:c r="B12" s="23" t="str">
        <x:v>Narrative continuity</x:v>
      </x:c>
      <x:c r="C12" s="23" t="str">
        <x:v>Each chapter develops a question and hands off to the next without forced logical dependence.</x:v>
      </x:c>
      <x:c r="D12" s="23" t="str">
        <x:v>Not assessed</x:v>
      </x:c>
      <x:c r="E12" s="23" t="str">
        <x:v>chapter-arc; copyedit</x:v>
      </x:c>
    </x:row>
    <x:row r="13" ht="64" customHeight="1">
      <x:c r="A13" s="23" t="str">
        <x:v>G7</x:v>
      </x:c>
      <x:c r="B13" s="23" t="str">
        <x:v>Publication readiness</x:v>
      </x:c>
      <x:c r="C13" s="23" t="str">
        <x:v>Stable build, accessible reader, checked print artifacts, working links and archived approved edition.</x:v>
      </x:c>
      <x:c r="D13" s="23" t="str">
        <x:v>Not assessed</x:v>
      </x:c>
      <x:c r="E13" s="23" t="str">
        <x:v>publication-qa; release-edition</x:v>
      </x:c>
    </x:row>
  </x:sheetData>
  <x:mergeCells>
    <x:mergeCell ref="A1:E1"/>
    <x:mergeCell ref="A2:E3"/>
    <x:mergeCell ref="A5:E5"/>
  </x:mergeCells>
  <x:dataValidations count="1">
    <x:dataValidation type="list" sqref="D7:D13">
      <x:formula1>"Not assessed,In review,Changes required,Passed with evidence"</x:formula1>
    </x:dataValidation>
  </x:dataValidations>
  <x:pageMargins left="0.7" right="0.7" top="0.75" bottom="0.75" header="0.3" footer="0.3"/>
  <x:tableParts count="1">
    <x:tablePart xmlns:r="http://schemas.openxmlformats.org/officeDocument/2006/relationships" r:id="R3253eb8a136c4b7d"/>
  </x:tableParts>
</x:worksheet>
</file>

<file path=xl/worksheets/sheet9.xml><?xml version="1.0" encoding="utf-8"?>
<x:worksheet xmlns:x="http://schemas.openxmlformats.org/spreadsheetml/2006/main">
  <x:sheetFormatPr defaultRowHeight="15"/>
  <x:cols>
    <x:col min="1" max="1" width="34" hidden="0" customWidth="1"/>
    <x:col min="2" max="2" width="112" hidden="0" customWidth="1"/>
  </x:cols>
  <x:sheetData>
    <x:row r="1" ht="36" customHeight="1">
      <x:c r="A1" s="69" t="str">
        <x:v>Theology | How to use and maintain this plan</x:v>
      </x:c>
      <x:c r="B1" s="69"/>
    </x:row>
    <x:row r="2" ht="22" customHeight="1">
      <x:c r="A2" s="71" t="str">
        <x:v>Read the limits before interpreting the dashboard. Source-backed planning and author approval are deliberately separate.</x:v>
      </x:c>
      <x:c r="B2" s="71"/>
    </x:row>
    <x:row r="3" ht="22" customHeight="1">
      <x:c r="A3" s="71"/>
      <x:c r="B3" s="71"/>
    </x:row>
    <x:row r="4">
      <x:c r="A4" s="2"/>
      <x:c r="B4" s="2"/>
    </x:row>
    <x:row r="5" ht="20" customHeight="1">
      <x:c r="A5" s="72" t="str">
        <x:v>Content edition: 2026.09.06-james-transmission-1</x:v>
      </x:c>
      <x:c r="B5" s="14"/>
    </x:row>
    <x:row r="6" ht="32" customHeight="1">
      <x:c r="A6" s="18" t="str">
        <x:v>Field</x:v>
      </x:c>
      <x:c r="B6" s="18" t="str">
        <x:v>Meaning / source</x:v>
      </x:c>
    </x:row>
    <x:row r="7" ht="64" customHeight="1">
      <x:c r="A7" s="23" t="str">
        <x:v>Canonical shared plan</x:v>
      </x:c>
      <x:c r="B7" s="23" t="str">
        <x:v>theology-wiki/editorial/roadmap.json</x:v>
      </x:c>
    </x:row>
    <x:row r="8" ht="64" customHeight="1">
      <x:c r="A8" s="23" t="str">
        <x:v>Published reader</x:v>
      </x:c>
      <x:c r="B8" s="23" t="str">
        <x:v>https://v5ma.github.io/theology-wiki/san-reader.html?page=research-roadmap</x:v>
      </x:c>
    </x:row>
    <x:row r="9" ht="64" customHeight="1">
      <x:c r="A9" s="23" t="str">
        <x:v>Workbook meaning</x:v>
      </x:c>
      <x:c r="B9" s="23" t="str">
        <x:v>A portable planning snapshot. Editable cells are blue. Changes do not update the website or personal board.</x:v>
      </x:c>
    </x:row>
    <x:row r="10" ht="64" customHeight="1">
      <x:c r="A10" s="23" t="str">
        <x:v>Verified output</x:v>
      </x:c>
      <x:c r="B10" s="23" t="str">
        <x:v>The bounded acceptance criterion has evidence. This is not a truth score, publication approval, or completed book percentage.</x:v>
      </x:c>
    </x:row>
    <x:row r="11" ht="64" customHeight="1">
      <x:c r="A11" s="23" t="str">
        <x:v>Dates</x:v>
      </x:c>
      <x:c r="B11" s="23" t="str">
        <x:v>Target dates are intentionally blank. Dependencies define order; no background work or completion date is promised.</x:v>
      </x:c>
    </x:row>
    <x:row r="12" ht="64" customHeight="1">
      <x:c r="A12" s="23" t="str">
        <x:v>Source coverage</x:v>
      </x:c>
      <x:c r="B12" s="23" t="str">
        <x:v>Recorded article links and selected anchors are counted. No developed-article link is not equivalent to unread, irrelevant, rejected or unimportant.</x:v>
      </x:c>
    </x:row>
    <x:row r="13" ht="64" customHeight="1">
      <x:c r="A13" s="23" t="str">
        <x:v>Source dates</x:v>
      </x:c>
      <x:c r="B13" s="23" t="str">
        <x:v>Export-start dates can predate later conversation turns; do not use them to date every statement.</x:v>
      </x:c>
    </x:row>
    <x:row r="14" ht="64" customHeight="1">
      <x:c r="A14" s="23" t="str">
        <x:v>Task IDs</x:v>
      </x:c>
      <x:c r="B14" s="23" t="str">
        <x:v>Preserve IDs when recording edits. Unknown IDs need deliberate review before changing the canonical plan.</x:v>
      </x:c>
    </x:row>
    <x:row r="15" ht="64" customHeight="1">
      <x:c r="A15" s="23" t="str">
        <x:v>Source integrity</x:v>
      </x:c>
      <x:c r="B15" s="23" t="str">
        <x:v>The SHA-256 and byte counts are imported from the preserved corpus metadata.</x:v>
      </x:c>
    </x:row>
    <x:row r="16" ht="64" customHeight="1">
      <x:c r="A16" s="23" t="str">
        <x:v>Approval</x:v>
      </x:c>
      <x:c r="B16" s="23" t="str">
        <x:v>Only author review can approve wording. Editing a workbook status does not confer public approval.</x:v>
      </x:c>
    </x:row>
    <x:row r="17" ht="64" customHeight="1">
      <x:c r="A17" s="23" t="str">
        <x:v>Update procedure</x:v>
      </x:c>
      <x:c r="B17" s="23" t="str">
        <x:v>Edit the canonical JSON through a reviewed repository change, run the build and tests, regenerate this workbook, and retain version/hash evidence.</x:v>
      </x:c>
    </x:row>
    <x:row r="18" ht="64" customHeight="1">
      <x:c r="A18" s="23" t="str">
        <x:v>Next writing pass</x:v>
      </x:c>
      <x:c r="B18" s="23" t="str">
        <x:v>Collate Greek and Coptic witnesses; develop the Jamesian institutional route. Use the evidence workbench to distinguish shared channels, contributions and unresolved questions.</x:v>
      </x:c>
    </x:row>
    <x:row r="19" ht="64" customHeight="1">
      <x:c r="A19" s="23" t="str">
        <x:v>Existing personal board</x:v>
      </x:c>
      <x:c r="B19" s="23" t="str">
        <x:v>The personal browser board remains separate and keeps its own local backup/restore.</x:v>
      </x:c>
    </x:row>
    <x:row r="20" ht="64" customHeight="1">
      <x:c r="A20" s="23" t="str">
        <x:v>Baseline commit</x:v>
      </x:c>
      <x:c r="B20" s="23" t="str">
        <x:v>a39f1f8391580e1a743763d6f6c455e4ead3aad8</x:v>
      </x:c>
    </x:row>
    <x:row r="21" ht="64" customHeight="1">
      <x:c r="A21" s="23" t="str">
        <x:v>Connected foundations refresh</x:v>
      </x:c>
      <x:c r="B21" s="23" t="str">
        <x:v>2026.09.06-james-transmission-1. Two new full studies, 30 claim-level records, and ten new museum stops. Current shared statuses remain bounded deliverables, not author approval.</x:v>
      </x:c>
    </x:row>
  </x:sheetData>
  <x:mergeCells>
    <x:mergeCell ref="A1:B1"/>
    <x:mergeCell ref="A2:B3"/>
    <x:mergeCell ref="A5:B5"/>
  </x:mergeCells>
  <x:pageMargins left="0.7" right="0.7" top="0.75" bottom="0.75" header="0.3" footer="0.3"/>
  <x:tableParts count="1">
    <x:tablePart xmlns:r="http://schemas.openxmlformats.org/officeDocument/2006/relationships" r:id="R07a578b40ce74458"/>
  </x:tableParts>
</x:worksheet>
</file>