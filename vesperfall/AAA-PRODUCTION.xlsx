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97ed1de71c49f6" /></Relationships>
</file>

<file path=xl/workbook.xml><?xml version="1.0" encoding="utf-8"?>
<x:workbook xmlns:x="http://schemas.openxmlformats.org/spreadsheetml/2006/main">
  <x:sheets>
    <x:sheet xmlns:r="http://schemas.openxmlformats.org/officeDocument/2006/relationships" name="Start Here" sheetId="1" r:id="R25c4428087cd417a"/>
    <x:sheet xmlns:r="http://schemas.openxmlformats.org/officeDocument/2006/relationships" name="Backlog" sheetId="2" r:id="R00092acda6d0464c"/>
    <x:sheet xmlns:r="http://schemas.openxmlformats.org/officeDocument/2006/relationships" name="Milestones" sheetId="3" r:id="R82e512fbaf704c45"/>
    <x:sheet xmlns:r="http://schemas.openxmlformats.org/officeDocument/2006/relationships" name="Device QA" sheetId="4" r:id="R56a1554f64cf41ec"/>
    <x:sheet xmlns:r="http://schemas.openxmlformats.org/officeDocument/2006/relationships" name="Release Gates" sheetId="5" r:id="Rff4599357f8c4c0e"/>
    <x:sheet xmlns:r="http://schemas.openxmlformats.org/officeDocument/2006/relationships" name="Risk Register" sheetId="6" r:id="R3f4c801032044f3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1">
    <x:font>
      <x:sz val="11"/>
      <x:name val="Carlito"/>
    </x:font>
    <x:font>
      <x:sz val="11"/>
      <x:color rgb="FF203441"/>
      <x:name val="Calibri"/>
    </x:font>
    <x:font>
      <x:b/>
      <x:sz val="22"/>
      <x:color rgb="FFFFFFFF"/>
      <x:name val="Calibri"/>
    </x:font>
    <x:font>
      <x:b/>
      <x:sz val="11"/>
      <x:color rgb="FFFFFFFF"/>
      <x:name val="Calibri"/>
    </x:font>
    <x:font>
      <x:b/>
      <x:sz val="23"/>
      <x:color rgb="FFFFFFFF"/>
      <x:name val="Calibri"/>
    </x:font>
    <x:font>
      <x:b/>
      <x:sz val="30"/>
      <x:color rgb="FF203441"/>
      <x:name val="Calibri"/>
    </x:font>
    <x:font>
      <x:b/>
      <x:sz val="11"/>
      <x:color rgb="FF7D5928"/>
      <x:name val="Calibri"/>
    </x:font>
    <x:font>
      <x:sz val="9"/>
      <x:color rgb="FF203441"/>
      <x:name val="Calibri"/>
    </x:font>
    <x:font>
      <x:sz val="11"/>
      <x:color rgb="FF176B68"/>
      <x:name val="Calibri"/>
    </x:font>
    <x:font>
      <x:b/>
      <x:sz val="11"/>
      <x:color rgb="FFFFFFFF"/>
      <x:name val="Carlito"/>
    </x:font>
    <x:font>
      <x:sz val="11"/>
      <x:color rgb="FF243B47"/>
      <x:name val="Carlito"/>
    </x:font>
  </x:fonts>
  <x:fills count="8">
    <x:fill>
      <x:patternFill patternType="none"/>
    </x:fill>
    <x:fill>
      <x:patternFill patternType="gray125"/>
    </x:fill>
    <x:fill>
      <x:patternFill patternType="solid">
        <x:fgColor rgb="FF142630"/>
      </x:patternFill>
    </x:fill>
    <x:fill>
      <x:patternFill patternType="solid">
        <x:fgColor rgb="FFF1F5F4"/>
      </x:patternFill>
    </x:fill>
    <x:fill>
      <x:patternFill patternType="solid">
        <x:fgColor rgb="FF176F68"/>
      </x:patternFill>
    </x:fill>
    <x:fill>
      <x:patternFill patternType="solid">
        <x:fgColor rgb="FF176B68"/>
      </x:patternFill>
    </x:fill>
    <x:fill>
      <x:patternFill patternType="solid">
        <x:fgColor rgb="FFEFF4F4"/>
      </x:patternFill>
    </x:fill>
    <x:fill>
      <x:patternFill patternType="solid">
        <x:fgColor rgb="FFFFFFFF"/>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center"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5" fillId="3" borderId="1"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0" fillId="0" borderId="0" xfId="0" applyNumberFormat="1" applyFont="1" applyFill="1" applyBorder="1"/>
    <x:xf numFmtId="0" fontId="8" fillId="0" borderId="0" xfId="0" applyNumberFormat="1" applyFont="1" applyFill="1" applyBorder="1" applyAlignment="1">
      <x:alignment vertical="top" wrapText="1"/>
    </x:xf>
    <x:xf numFmtId="0" fontId="0" fillId="5" borderId="0" xfId="0" applyNumberFormat="1" applyFont="1" applyFill="1" applyBorder="1"/>
    <x:xf numFmtId="0" fontId="9" fillId="5" borderId="0" xfId="0" applyNumberFormat="1" applyFont="1" applyFill="1" applyBorder="1"/>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10" fillId="7" borderId="0"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dxfs count="6">
    <x:dxf>
      <x:fill>
        <x:patternFill>
          <x:bgColor rgb="FFDDEFE8"/>
        </x:patternFill>
      </x:fill>
    </x:dxf>
    <x:dxf>
      <x:fill>
        <x:patternFill>
          <x:bgColor rgb="FFFFF0CE"/>
        </x:patternFill>
      </x:fill>
    </x:dxf>
    <x:dxf>
      <x:fill>
        <x:patternFill>
          <x:bgColor rgb="FFFCE6D8"/>
        </x:patternFill>
      </x:fill>
    </x:dxf>
    <x:dxf>
      <x:fill>
        <x:patternFill>
          <x:bgColor rgb="FFEDF1F5"/>
        </x:patternFill>
      </x:fill>
    </x:dxf>
    <x:dxf>
      <x:font>
        <x:b/>
        <x:color rgb="FF8A2D28"/>
      </x:font>
      <x:fill>
        <x:patternFill>
          <x:bgColor rgb="FFFAE3DF"/>
        </x:patternFill>
      </x:fill>
    </x:dxf>
    <x:dxf>
      <x:font>
        <x:b/>
        <x:color rgb="FF8A2D28"/>
      </x:font>
      <x:fill>
        <x:patternFill>
          <x:bgColor rgb="FFFAE3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cf54cb928b4ab2" /><Relationship Type="http://schemas.openxmlformats.org/officeDocument/2006/relationships/theme" Target="/xl/theme/theme1.xml" Id="Rf41c2c793d234548" /><Relationship Type="http://schemas.openxmlformats.org/officeDocument/2006/relationships/sharedStrings" Target="/xl/sharedStrings.xml" Id="R08c023b4fb364f5d" /><Relationship Type="http://schemas.openxmlformats.org/officeDocument/2006/relationships/worksheet" Target="/xl/worksheets/sheet1.xml" Id="R25c4428087cd417a" /><Relationship Type="http://schemas.openxmlformats.org/officeDocument/2006/relationships/worksheet" Target="/xl/worksheets/sheet2.xml" Id="R00092acda6d0464c" /><Relationship Type="http://schemas.openxmlformats.org/officeDocument/2006/relationships/worksheet" Target="/xl/worksheets/sheet3.xml" Id="R82e512fbaf704c45" /><Relationship Type="http://schemas.openxmlformats.org/officeDocument/2006/relationships/worksheet" Target="/xl/worksheets/sheet4.xml" Id="R56a1554f64cf41ec" /><Relationship Type="http://schemas.openxmlformats.org/officeDocument/2006/relationships/worksheet" Target="/xl/worksheets/sheet5.xml" Id="Rff4599357f8c4c0e" /><Relationship Type="http://schemas.openxmlformats.org/officeDocument/2006/relationships/worksheet" Target="/xl/worksheets/sheet6.xml" Id="R3f4c801032044f33" /></Relationships>
</file>

<file path=xl/tables/table1.xml><?xml version="1.0" encoding="utf-8"?>
<x:table xmlns:x="http://schemas.openxmlformats.org/spreadsheetml/2006/main" id="1" name="ProductionBacklog" displayName="ProductionBacklog" ref="A5:N81" headerRowCount="1" totalsRowCount="0" totalsRowShown="0">
  <x:tableColumns count="14">
    <x:tableColumn id="1" name="ID"/>
    <x:tableColumn id="2" name="Task / deliverable"/>
    <x:tableColumn id="3" name="Status"/>
    <x:tableColumn id="4" name="Priority"/>
    <x:tableColumn id="5" name="Milestone"/>
    <x:tableColumn id="6" name="Discipline"/>
    <x:tableColumn id="7" name="Owner role"/>
    <x:tableColumn id="8" name="Depends on"/>
    <x:tableColumn id="9" name="Why this matters"/>
    <x:tableColumn id="10" name="Acceptance gate"/>
    <x:tableColumn id="11" name="Evidence / verification level"/>
    <x:tableColumn id="12" name="Local source evidence"/>
    <x:tableColumn id="13" name="Release"/>
    <x:tableColumn id="14" name="Source URL"/>
  </x:tableColumns>
  <x:tableStyleInfo name="TableStyleMedium2" showFirstColumn="0" showLastColumn="0" showRowStripes="1" showColumnStripes="0"/>
</x:table>
</file>

<file path=xl/tables/table2.xml><?xml version="1.0" encoding="utf-8"?>
<x:table xmlns:x="http://schemas.openxmlformats.org/spreadsheetml/2006/main" id="2" name="ProductionMilestones" displayName="ProductionMilestones" ref="A5:H12" headerRowCount="1" totalsRowCount="0" totalsRowShown="0">
  <x:tableColumns count="8">
    <x:tableColumn id="1" name="ID"/>
    <x:tableColumn id="2" name="Milestone"/>
    <x:tableColumn id="3" name="Status"/>
    <x:tableColumn id="4" name="Prerequisites"/>
    <x:tableColumn id="5" name="Goal"/>
    <x:tableColumn id="6" name="Exit gate"/>
    <x:tableColumn id="7" name="Tasks"/>
    <x:tableColumn id="8" name="Implemented tasks"/>
  </x:tableColumns>
  <x:tableStyleInfo name="TableStyleMedium2" showFirstColumn="0" showLastColumn="0" showRowStripes="1" showColumnStripes="0"/>
</x:table>
</file>

<file path=xl/tables/table3.xml><?xml version="1.0" encoding="utf-8"?>
<x:table xmlns:x="http://schemas.openxmlformats.org/spreadsheetml/2006/main" id="3" name="DeviceMatrix" displayName="DeviceMatrix" ref="A5:J17" headerRowCount="1" totalsRowCount="0" totalsRowShown="0">
  <x:tableColumns count="10">
    <x:tableColumn id="1" name="ID"/>
    <x:tableColumn id="2" name="Device / mode"/>
    <x:tableColumn id="3" name="Configuration"/>
    <x:tableColumn id="4" name="Scenario / acceptance target"/>
    <x:tableColumn id="5" name="Task references"/>
    <x:tableColumn id="6" name="Current evidence"/>
    <x:tableColumn id="7" name="Recording instructions"/>
    <x:tableColumn id="8" name="Build hash / version"/>
    <x:tableColumn id="9" name="Test date"/>
    <x:tableColumn id="10" name="Tester / result"/>
  </x:tableColumns>
  <x:tableStyleInfo name="TableStyleMedium2" showFirstColumn="0" showLastColumn="0" showRowStripes="1" showColumnStripes="0"/>
</x:table>
</file>

<file path=xl/tables/table4.xml><?xml version="1.0" encoding="utf-8"?>
<x:table xmlns:x="http://schemas.openxmlformats.org/spreadsheetml/2006/main" id="4" name="ReleaseGateMatrix" displayName="ReleaseGateMatrix" ref="A5:H15" headerRowCount="1" totalsRowCount="0" totalsRowShown="0">
  <x:tableColumns count="8">
    <x:tableColumn id="1" name="ID"/>
    <x:tableColumn id="2" name="Gate"/>
    <x:tableColumn id="3" name="Owner role"/>
    <x:tableColumn id="4" name="Acceptance criterion"/>
    <x:tableColumn id="5" name="Evidence path"/>
    <x:tableColumn id="6" name="When required"/>
    <x:tableColumn id="7" name="Gate category"/>
    <x:tableColumn id="8" name="Result / evidence receipt"/>
  </x:tableColumns>
  <x:tableStyleInfo name="TableStyleMedium2" showFirstColumn="0" showLastColumn="0" showRowStripes="1" showColumnStripes="0"/>
</x:table>
</file>

<file path=xl/tables/table5.xml><?xml version="1.0" encoding="utf-8"?>
<x:table xmlns:x="http://schemas.openxmlformats.org/spreadsheetml/2006/main" id="5" name="ProductionRisks" displayName="ProductionRisks" ref="A5:H17" headerRowCount="1" totalsRowCount="0" totalsRowShown="0">
  <x:tableColumns count="8">
    <x:tableColumn id="1" name="ID"/>
    <x:tableColumn id="2" name="Risk"/>
    <x:tableColumn id="3" name="Severity"/>
    <x:tableColumn id="4" name="Owner role"/>
    <x:tableColumn id="5" name="Trigger / evidence gap"/>
    <x:tableColumn id="6" name="Task references"/>
    <x:tableColumn id="7" name="Mitigation / next action"/>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8360007258475a" /></Relationships>
</file>

<file path=xl/worksheets/_rels/sheet3.xml.rels>&#65279;<?xml version="1.0" encoding="utf-8"?><Relationships xmlns="http://schemas.openxmlformats.org/package/2006/relationships"><Relationship Type="http://schemas.openxmlformats.org/officeDocument/2006/relationships/table" Target="/xl/tables/table2.xml" Id="Rb645a74757f84a3a" /></Relationships>
</file>

<file path=xl/worksheets/_rels/sheet4.xml.rels>&#65279;<?xml version="1.0" encoding="utf-8"?><Relationships xmlns="http://schemas.openxmlformats.org/package/2006/relationships"><Relationship Type="http://schemas.openxmlformats.org/officeDocument/2006/relationships/table" Target="/xl/tables/table3.xml" Id="R037fb1aaadb14064" /></Relationships>
</file>

<file path=xl/worksheets/_rels/sheet5.xml.rels>&#65279;<?xml version="1.0" encoding="utf-8"?><Relationships xmlns="http://schemas.openxmlformats.org/package/2006/relationships"><Relationship Type="http://schemas.openxmlformats.org/officeDocument/2006/relationships/table" Target="/xl/tables/table4.xml" Id="R46a5c22e2a4c4f25" /></Relationships>
</file>

<file path=xl/worksheets/_rels/sheet6.xml.rels>&#65279;<?xml version="1.0" encoding="utf-8"?><Relationships xmlns="http://schemas.openxmlformats.org/package/2006/relationships"><Relationship Type="http://schemas.openxmlformats.org/officeDocument/2006/relationships/table" Target="/xl/tables/table5.xml" Id="R732fc0fbe20745ae"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4" customHeight="1">
      <x:c r="A1" s="24" t="str">
        <x:v>VESPERFALL / THE ROAD TO A FINISHED WORLD</x:v>
      </x:c>
      <x:c r="B1" s="24"/>
      <x:c r="C1" s="24"/>
      <x:c r="D1" s="24"/>
      <x:c r="E1" s="24"/>
      <x:c r="F1" s="24"/>
      <x:c r="G1" s="24"/>
      <x:c r="H1" s="24"/>
    </x:row>
    <x:row r="2" ht="24" customHeight="1">
      <x:c r="A2" s="24"/>
      <x:c r="B2" s="24"/>
      <x:c r="C2" s="24"/>
      <x:c r="D2" s="24"/>
      <x:c r="E2" s="24"/>
      <x:c r="F2" s="24"/>
      <x:c r="G2" s="24"/>
      <x:c r="H2" s="24"/>
    </x:row>
    <x:row r="3" ht="24" customHeight="1">
      <x:c r="A3" s="12" t="str">
        <x:v>v0.16.0 / Goldwind / 2026-09-17. Opt-in physical bow: golden teleport draw, thrown escape disk, directional shield and reach quiver. Open Line geography, Classic/crossbow, Xbox and all saved layouts remain.</x:v>
      </x:c>
      <x:c r="B3" s="12"/>
      <x:c r="C3" s="12"/>
      <x:c r="D3" s="12"/>
      <x:c r="E3" s="12"/>
      <x:c r="F3" s="12"/>
      <x:c r="G3" s="12"/>
      <x:c r="H3" s="12"/>
    </x:row>
    <x:row r="4" ht="24" customHeight="1">
      <x:c r="A4" s="12"/>
      <x:c r="B4" s="12"/>
      <x:c r="C4" s="12"/>
      <x:c r="D4" s="12"/>
      <x:c r="E4" s="12"/>
      <x:c r="F4" s="12"/>
      <x:c r="G4" s="12"/>
      <x:c r="H4" s="12"/>
    </x:row>
    <x:row r="5" ht="24" customHeight="1">
      <x:c r="A5" s="6"/>
      <x:c r="B5" s="6"/>
      <x:c r="C5" s="6"/>
      <x:c r="D5" s="6"/>
      <x:c r="E5" s="6"/>
      <x:c r="F5" s="6"/>
      <x:c r="G5" s="6"/>
      <x:c r="H5" s="6"/>
    </x:row>
    <x:row r="6" ht="25" customHeight="1">
      <x:c r="A6" s="15" t="str">
        <x:v>Tracked tasks</x:v>
      </x:c>
      <x:c r="B6" s="15"/>
      <x:c r="C6" s="15" t="str">
        <x:v>Software implemented</x:v>
      </x:c>
      <x:c r="D6" s="15"/>
      <x:c r="E6" s="15" t="str">
        <x:v>Physical gates open</x:v>
      </x:c>
      <x:c r="F6" s="15"/>
      <x:c r="G6" s="15" t="str">
        <x:v>Milestones</x:v>
      </x:c>
      <x:c r="H6" s="15"/>
    </x:row>
    <x:row r="7" ht="24" customHeight="1">
      <x:c r="A7" s="28" t="n">
        <x:f>COUNTA(Backlog!A6:A81)</x:f>
        <x:v>76</x:v>
      </x:c>
      <x:c r="B7" s="28"/>
      <x:c r="C7" s="28" t="n">
        <x:f>COUNTIF(Backlog!C6:C81,"Implemented")</x:f>
        <x:v>34</x:v>
      </x:c>
      <x:c r="D7" s="28"/>
      <x:c r="E7" s="28" t="n">
        <x:f>COUNTIF(Backlog!C6:C81,"Hardware QA")</x:f>
        <x:v>8</x:v>
      </x:c>
      <x:c r="F7" s="28"/>
      <x:c r="G7" s="28" t="n">
        <x:f>COUNTA(Milestones!A6:A12)</x:f>
        <x:v>7</x:v>
      </x:c>
      <x:c r="H7" s="28"/>
    </x:row>
    <x:row r="8" ht="24" customHeight="1">
      <x:c r="A8" s="28"/>
      <x:c r="B8" s="28"/>
      <x:c r="C8" s="28"/>
      <x:c r="D8" s="28"/>
      <x:c r="E8" s="28"/>
      <x:c r="F8" s="28"/>
      <x:c r="G8" s="28"/>
      <x:c r="H8" s="28"/>
    </x:row>
    <x:row r="9" ht="24" customHeight="1">
      <x:c r="A9" s="6"/>
      <x:c r="B9" s="6"/>
      <x:c r="C9" s="6"/>
      <x:c r="D9" s="6"/>
      <x:c r="E9" s="6"/>
      <x:c r="F9" s="6"/>
      <x:c r="G9" s="6"/>
      <x:c r="H9" s="6"/>
    </x:row>
    <x:row r="10" ht="28" customHeight="1">
      <x:c r="A10" s="32" t="str">
        <x:v>No AAA completion percentage is calculated. Implemented software still needs hardware and human evaluation.</x:v>
      </x:c>
      <x:c r="B10" s="32"/>
      <x:c r="C10" s="32"/>
      <x:c r="D10" s="32"/>
      <x:c r="E10" s="32"/>
      <x:c r="F10" s="32"/>
      <x:c r="G10" s="32"/>
      <x:c r="H10" s="32"/>
    </x:row>
    <x:row r="11" ht="24" customHeight="1">
      <x:c r="A11" s="6"/>
      <x:c r="B11" s="6"/>
      <x:c r="C11" s="6"/>
      <x:c r="D11" s="6"/>
      <x:c r="E11" s="6"/>
      <x:c r="F11" s="6"/>
      <x:c r="G11" s="6"/>
      <x:c r="H11" s="6"/>
    </x:row>
    <x:row r="12" ht="24" customHeight="1">
      <x:c r="A12" s="6" t="str">
        <x:v>Use Backlog to filter priorities, dependencies, owner roles and acceptance gates. Milestones explains the sequence. Device QA is a blank evidence-capture matrix, not a claim that those devices have passed.</x:v>
      </x:c>
      <x:c r="B12" s="6"/>
      <x:c r="C12" s="6"/>
      <x:c r="D12" s="6"/>
      <x:c r="E12" s="6"/>
      <x:c r="F12" s="6"/>
      <x:c r="G12" s="6"/>
      <x:c r="H12" s="6"/>
    </x:row>
    <x:row r="13" ht="24" customHeight="1">
      <x:c r="A13" s="6"/>
      <x:c r="B13" s="6"/>
      <x:c r="C13" s="6"/>
      <x:c r="D13" s="6"/>
      <x:c r="E13" s="6"/>
      <x:c r="F13" s="6"/>
      <x:c r="G13" s="6"/>
      <x:c r="H13" s="6"/>
    </x:row>
    <x:row r="14" ht="24" customHeight="1">
      <x:c r="A14" s="6"/>
      <x:c r="B14" s="6"/>
      <x:c r="C14" s="6"/>
      <x:c r="D14" s="6"/>
      <x:c r="E14" s="6"/>
      <x:c r="F14" s="6"/>
      <x:c r="G14" s="6"/>
      <x:c r="H14" s="6"/>
    </x:row>
    <x:row r="15" ht="24" customHeight="1">
      <x:c r="A15" s="6" t="str">
        <x:v>Prove the physical actions inside the existing cathedral before extending modular generation. Real arrow flight, supported landings and deliberate throws matter more than adding rooms. No new enemy roster or second chapter is included.</x:v>
      </x:c>
      <x:c r="B15" s="6"/>
      <x:c r="C15" s="6"/>
      <x:c r="D15" s="6"/>
      <x:c r="E15" s="6"/>
      <x:c r="F15" s="6"/>
      <x:c r="G15" s="6"/>
      <x:c r="H15" s="6"/>
    </x:row>
    <x:row r="16" ht="24" customHeight="1">
      <x:c r="A16" s="6"/>
      <x:c r="B16" s="6"/>
      <x:c r="C16" s="6"/>
      <x:c r="D16" s="6"/>
      <x:c r="E16" s="6"/>
      <x:c r="F16" s="6"/>
      <x:c r="G16" s="6"/>
      <x:c r="H16" s="6"/>
    </x:row>
    <x:row r="17" ht="24" customHeight="1">
      <x:c r="A17" s="6"/>
      <x:c r="B17" s="6"/>
      <x:c r="C17" s="6"/>
      <x:c r="D17" s="6"/>
      <x:c r="E17" s="6"/>
      <x:c r="F17" s="6"/>
      <x:c r="G17" s="6"/>
      <x:c r="H17" s="6"/>
    </x:row>
    <x:row r="18" ht="24" customHeight="1">
      <x:c r="A18" s="6" t="str">
        <x:v>Canonical source: roadmap.json beside the game on GitHub. The web board and Excel workbook are readable views of that plan. Browser status edits are local; workbook edits do not automatically synchronize to GitHub.</x:v>
      </x:c>
      <x:c r="B18" s="6"/>
      <x:c r="C18" s="6"/>
      <x:c r="D18" s="6"/>
      <x:c r="E18" s="6"/>
      <x:c r="F18" s="6"/>
      <x:c r="G18" s="6"/>
      <x:c r="H18" s="6"/>
    </x:row>
    <x:row r="19" ht="24" customHeight="1">
      <x:c r="A19" s="6"/>
      <x:c r="B19" s="6"/>
      <x:c r="C19" s="6"/>
      <x:c r="D19" s="6"/>
      <x:c r="E19" s="6"/>
      <x:c r="F19" s="6"/>
      <x:c r="G19" s="6"/>
      <x:c r="H19" s="6"/>
    </x:row>
    <x:row r="20" ht="24" customHeight="1">
      <x:c r="A20" s="6"/>
      <x:c r="B20" s="6"/>
      <x:c r="C20" s="6"/>
      <x:c r="D20" s="6"/>
      <x:c r="E20" s="6"/>
      <x:c r="F20" s="6"/>
      <x:c r="G20" s="6"/>
      <x:c r="H20" s="6"/>
    </x:row>
    <x:row r="21" ht="24" customHeight="1">
      <x:c r="A21" s="6" t="str">
        <x:v>Next: physical Quest/Xbox and unfamiliar/repeat-player observation of Goldwind in Open Line; then reusable authored encounter relationships, separate travel/shot validation and deterministic streams.</x:v>
      </x:c>
      <x:c r="B21" s="6"/>
      <x:c r="C21" s="6"/>
      <x:c r="D21" s="6"/>
      <x:c r="E21" s="6"/>
      <x:c r="F21" s="6"/>
      <x:c r="G21" s="6"/>
      <x:c r="H21" s="6"/>
    </x:row>
    <x:row r="22" ht="24" customHeight="1">
      <x:c r="A22" s="6"/>
      <x:c r="B22" s="6"/>
      <x:c r="C22" s="6"/>
      <x:c r="D22" s="6"/>
      <x:c r="E22" s="6"/>
      <x:c r="F22" s="6"/>
      <x:c r="G22" s="6"/>
      <x:c r="H22" s="6"/>
    </x:row>
    <x:row r="23" ht="24" customHeight="1">
      <x:c r="A23" s="6"/>
      <x:c r="B23" s="6"/>
      <x:c r="C23" s="6"/>
      <x:c r="D23" s="6"/>
      <x:c r="E23" s="6"/>
      <x:c r="F23" s="6"/>
      <x:c r="G23" s="6"/>
      <x:c r="H23" s="6"/>
    </x:row>
    <x:row r="24" ht="24" customHeight="1">
      <x:c r="A24" s="6" t="str">
        <x:v>Use GOLDWIND.md and its exact publication receipt. Model fixtures, rendered synthetic input, public bytes, physical hardware and human enjoyment are separate evidence. No device or human gate is certified.</x:v>
      </x:c>
      <x:c r="B24" s="6"/>
      <x:c r="C24" s="6"/>
      <x:c r="D24" s="6"/>
      <x:c r="E24" s="6"/>
      <x:c r="F24" s="6"/>
      <x:c r="G24" s="6"/>
      <x:c r="H24" s="6"/>
    </x:row>
    <x:row r="25" ht="24" customHeight="1">
      <x:c r="A25" s="6"/>
      <x:c r="B25" s="6"/>
      <x:c r="C25" s="6"/>
      <x:c r="D25" s="6"/>
      <x:c r="E25" s="6"/>
      <x:c r="F25" s="6"/>
      <x:c r="G25" s="6"/>
      <x:c r="H25" s="6"/>
    </x:row>
    <x:row r="26" ht="24" customHeight="1">
      <x:c r="A26" s="6"/>
      <x:c r="B26" s="6"/>
      <x:c r="C26" s="6"/>
      <x:c r="D26" s="6"/>
      <x:c r="E26" s="6"/>
      <x:c r="F26" s="6"/>
      <x:c r="G26" s="6"/>
      <x:c r="H26" s="6"/>
    </x:row>
    <x:row r="27" ht="24" customHeight="1">
      <x:c r="A27" s="34" t="str">
        <x:v>Canonical roadmap.json SHA-256: 0189dec4b3dbf791dd5ac6eb7c8f913c64280c5766dfb472cb8fe5166791dfb7</x:v>
      </x:c>
      <x:c r="B27" s="34"/>
      <x:c r="C27" s="34"/>
      <x:c r="D27" s="34"/>
      <x:c r="E27" s="34"/>
      <x:c r="F27" s="34"/>
      <x:c r="G27" s="34"/>
      <x:c r="H27" s="34"/>
    </x:row>
    <x:row r="28" ht="24" customHeight="1">
      <x:c r="A28" s="6"/>
      <x:c r="B28" s="6"/>
      <x:c r="C28" s="6"/>
      <x:c r="D28" s="6"/>
      <x:c r="E28" s="6"/>
      <x:c r="F28" s="6"/>
      <x:c r="G28" s="6"/>
      <x:c r="H28" s="6"/>
    </x:row>
    <x:row r="29" ht="24" customHeight="1">
      <x:c r="A29" s="36" t="str">
        <x:v>https://github.com/v5ma/v5ma.github.io/blob/master/vesperfall/roadmap.json</x:v>
      </x:c>
      <x:c r="B29" s="36"/>
      <x:c r="C29" s="36"/>
      <x:c r="D29" s="36"/>
      <x:c r="E29" s="36"/>
      <x:c r="F29" s="36"/>
      <x:c r="G29" s="36"/>
      <x:c r="H29" s="36"/>
    </x:row>
    <x:row r="30" ht="24" customHeight="1">
      <x:c r="A30" s="36" t="str">
        <x:v>https://v5ma.github.io/vesperfall/roadmap.html</x:v>
      </x:c>
      <x:c r="B30" s="36"/>
      <x:c r="C30" s="36"/>
      <x:c r="D30" s="36"/>
      <x:c r="E30" s="36"/>
      <x:c r="F30" s="36"/>
      <x:c r="G30" s="36"/>
      <x:c r="H30" s="36"/>
    </x:row>
    <x:row r="31" ht="24" customHeight="1">
      <x:c r="A31" s="36" t="str">
        <x:v>https://github.com/v5ma/v5ma.github.io/blob/master/vesperfall/DEVELOPMENT-HANDOFF.md</x:v>
      </x:c>
      <x:c r="B31" s="36"/>
      <x:c r="C31" s="36"/>
      <x:c r="D31" s="36"/>
      <x:c r="E31" s="36"/>
      <x:c r="F31" s="36"/>
      <x:c r="G31" s="36"/>
      <x:c r="H31" s="36"/>
    </x:row>
    <x:row r="32" ht="24" customHeight="1">
      <x:c r="A32" s="36" t="str">
        <x:v>https://github.com/v5ma/v5ma.github.io/blob/master/vesperfall/CONTINUATION-AUDIT.md</x:v>
      </x:c>
      <x:c r="B32" s="36"/>
      <x:c r="C32" s="36"/>
      <x:c r="D32" s="36"/>
      <x:c r="E32" s="36"/>
      <x:c r="F32" s="36"/>
      <x:c r="G32" s="36"/>
      <x:c r="H32" s="36"/>
    </x:row>
    <x:row r="33" ht="24" customHeight="1">
      <x:c r="A33" s="6"/>
      <x:c r="B33" s="6"/>
      <x:c r="C33" s="6"/>
      <x:c r="D33" s="6"/>
      <x:c r="E33" s="6"/>
      <x:c r="F33" s="6"/>
      <x:c r="G33" s="6"/>
      <x:c r="H33" s="6"/>
    </x:row>
    <x:row r="34" ht="26" customHeight="1">
      <x:c r="A34" s="38" t="str">
        <x:v>RESUME WITH THESE EXISTING TASKS</x:v>
      </x:c>
      <x:c r="B34" s="38"/>
      <x:c r="C34" s="38"/>
      <x:c r="D34" s="38"/>
      <x:c r="E34" s="38"/>
      <x:c r="F34" s="38"/>
      <x:c r="G34" s="38"/>
      <x:c r="H34" s="38"/>
    </x:row>
    <x:row r="36" ht="46" customHeight="1">
      <x:c r="A36" s="42" t="str">
        <x:v>V68 / V66: verify the actual 0.12 baseline. Do not treat a successful Pages build, a draft test count or historical Rosefire tests as Tidelight gameplay acceptance.</x:v>
      </x:c>
      <x:c r="B36" s="42"/>
      <x:c r="C36" s="42"/>
      <x:c r="D36" s="42"/>
      <x:c r="E36" s="42"/>
      <x:c r="F36" s="42"/>
      <x:c r="G36" s="42"/>
      <x:c r="H36" s="42"/>
    </x:row>
    <x:row r="37" ht="46" customHeight="1">
      <x:c r="A37" s="46" t="str">
        <x:v>V41 / V61 / V74: finish Quest water settings and verify all Xbox/Quest open, adjust, select, dismiss and recovery paths. Reproduce water footprint, height, ripple-budget and world-clock gaps.</x:v>
      </x:c>
      <x:c r="B37" s="46"/>
      <x:c r="C37" s="46"/>
      <x:c r="D37" s="46"/>
      <x:c r="E37" s="46"/>
      <x:c r="F37" s="46"/>
      <x:c r="G37" s="46"/>
      <x:c r="H37" s="46"/>
    </x:row>
    <x:row r="38" ht="46" customHeight="1">
      <x:c r="A38" s="42" t="str">
        <x:v>V58 / V44: implement water-specific sound, stronger archery/shield/enemy audio and musical transitions. Preserve independent volume buses, mute, captions and warning clarity.</x:v>
      </x:c>
      <x:c r="B38" s="42"/>
      <x:c r="C38" s="42"/>
      <x:c r="D38" s="42"/>
      <x:c r="E38" s="42"/>
      <x:c r="F38" s="42"/>
      <x:c r="G38" s="42"/>
      <x:c r="H38" s="42"/>
    </x:row>
    <x:row r="39" ht="46" customHeight="1">
      <x:c r="A39" s="46" t="str">
        <x:v>V35 / V52 / V54: pursue memorable routes, water destinations and humanoid animation; retain the existing 15 enemy archetypes, First Bell and Bellkeeper Oath.</x:v>
      </x:c>
      <x:c r="B39" s="46"/>
      <x:c r="C39" s="46"/>
      <x:c r="D39" s="46"/>
      <x:c r="E39" s="46"/>
      <x:c r="F39" s="46"/>
      <x:c r="G39" s="46"/>
      <x:c r="H39" s="46"/>
    </x:row>
    <x:row r="40" ht="46" customHeight="1">
      <x:c r="A40" s="42" t="str">
        <x:v>V38 / V59 / V62 / V75: run actual-device comfort, thermal, performance, controller and save-lifecycle checks. Proposed timing budgets are not measurements.</x:v>
      </x:c>
      <x:c r="B40" s="42"/>
      <x:c r="C40" s="42"/>
      <x:c r="D40" s="42"/>
      <x:c r="E40" s="42"/>
      <x:c r="F40" s="42"/>
      <x:c r="G40" s="42"/>
      <x:c r="H40" s="42"/>
    </x:row>
  </x:sheetData>
  <x:mergeCells>
    <x:mergeCell ref="A1:H2"/>
    <x:mergeCell ref="A3:H4"/>
    <x:mergeCell ref="A6:B6"/>
    <x:mergeCell ref="A7:B8"/>
    <x:mergeCell ref="C6:D6"/>
    <x:mergeCell ref="C7:D8"/>
    <x:mergeCell ref="E6:F6"/>
    <x:mergeCell ref="E7:F8"/>
    <x:mergeCell ref="G6:H6"/>
    <x:mergeCell ref="G7:H8"/>
    <x:mergeCell ref="A10:H10"/>
    <x:mergeCell ref="A12:H13"/>
    <x:mergeCell ref="A15:H16"/>
    <x:mergeCell ref="A18:H19"/>
    <x:mergeCell ref="A21:H22"/>
    <x:mergeCell ref="A24:H25"/>
    <x:mergeCell ref="A27:H27"/>
    <x:mergeCell ref="A29:H29"/>
    <x:mergeCell ref="A30:H30"/>
    <x:mergeCell ref="A31:H31"/>
    <x:mergeCell ref="A32:H32"/>
    <x:mergeCell ref="A34:H34"/>
    <x:mergeCell ref="A36:H36"/>
    <x:mergeCell ref="A37:H37"/>
    <x:mergeCell ref="A38:H38"/>
    <x:mergeCell ref="A39:H39"/>
    <x:mergeCell ref="A40:H40"/>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36" hidden="0" customWidth="1"/>
    <x:col min="3" max="3" width="18" hidden="0" customWidth="1"/>
    <x:col min="4" max="4" width="9" hidden="0" customWidth="1"/>
    <x:col min="5" max="5" width="12" hidden="0" customWidth="1"/>
    <x:col min="6" max="6" width="18" hidden="0" customWidth="1"/>
    <x:col min="7" max="7" width="28" hidden="0" customWidth="1"/>
    <x:col min="8" max="8" width="18" hidden="0" customWidth="1"/>
    <x:col min="9" max="9" width="38" hidden="0" customWidth="1"/>
    <x:col min="10" max="10" width="40" hidden="0" customWidth="1"/>
    <x:col min="11" max="11" width="38" hidden="0" customWidth="1"/>
    <x:col min="12" max="12" width="36" hidden="0" customWidth="1"/>
    <x:col min="13" max="13" width="16" hidden="0" customWidth="1"/>
    <x:col min="14" max="14" width="38" hidden="0" customWidth="1"/>
  </x:cols>
  <x:sheetData>
    <x:row r="1" ht="24" customHeight="1">
      <x:c r="A1" s="9" t="str">
        <x:v>VESPERFALL / PRODUCTION BACKLOG</x:v>
      </x:c>
      <x:c r="B1" s="9"/>
      <x:c r="C1" s="9"/>
      <x:c r="D1" s="9"/>
      <x:c r="E1" s="9"/>
      <x:c r="F1" s="9"/>
      <x:c r="G1" s="9"/>
      <x:c r="H1" s="9"/>
      <x:c r="I1" s="9"/>
      <x:c r="J1" s="9"/>
      <x:c r="K1" s="9"/>
      <x:c r="L1" s="9"/>
      <x:c r="M1" s="9"/>
      <x:c r="N1" s="9"/>
    </x:row>
    <x:row r="2" ht="24" customHeight="1">
      <x:c r="A2" s="9"/>
      <x:c r="B2" s="9"/>
      <x:c r="C2" s="9"/>
      <x:c r="D2" s="9"/>
      <x:c r="E2" s="9"/>
      <x:c r="F2" s="9"/>
      <x:c r="G2" s="9"/>
      <x:c r="H2" s="9"/>
      <x:c r="I2" s="9"/>
      <x:c r="J2" s="9"/>
      <x:c r="K2" s="9"/>
      <x:c r="L2" s="9"/>
      <x:c r="M2" s="9"/>
      <x:c r="N2" s="9"/>
    </x:row>
    <x:row r="3" ht="36" customHeight="1">
      <x:c r="A3" s="12" t="str">
        <x:v>v0.12.0 / 76 preserved tasks / September 13 source audit. Partial means the expanded acceptance scope remains open.</x:v>
      </x:c>
      <x:c r="B3" s="12"/>
      <x:c r="C3" s="12"/>
      <x:c r="D3" s="12"/>
      <x:c r="E3" s="12"/>
      <x:c r="F3" s="12"/>
      <x:c r="G3" s="12"/>
      <x:c r="H3" s="12"/>
      <x:c r="I3" s="12"/>
      <x:c r="J3" s="12"/>
      <x:c r="K3" s="12"/>
      <x:c r="L3" s="12"/>
      <x:c r="M3" s="12"/>
      <x:c r="N3" s="12"/>
    </x:row>
    <x:row r="4">
      <x:c r="A4" s="6"/>
      <x:c r="B4" s="6"/>
      <x:c r="C4" s="6"/>
      <x:c r="D4" s="6"/>
      <x:c r="E4" s="6"/>
      <x:c r="F4" s="6"/>
      <x:c r="G4" s="6"/>
      <x:c r="H4" s="6"/>
      <x:c r="I4" s="6"/>
      <x:c r="J4" s="6"/>
      <x:c r="K4" s="6"/>
      <x:c r="L4" s="6"/>
      <x:c r="M4" s="6"/>
      <x:c r="N4" s="6"/>
    </x:row>
    <x:row r="5" ht="34" customHeight="1">
      <x:c r="A5" s="15" t="str">
        <x:v>ID</x:v>
      </x:c>
      <x:c r="B5" s="15" t="str">
        <x:v>Task / deliverable</x:v>
      </x:c>
      <x:c r="C5" s="15" t="str">
        <x:v>Status</x:v>
      </x:c>
      <x:c r="D5" s="15" t="str">
        <x:v>Priority</x:v>
      </x:c>
      <x:c r="E5" s="15" t="str">
        <x:v>Milestone</x:v>
      </x:c>
      <x:c r="F5" s="15" t="str">
        <x:v>Discipline</x:v>
      </x:c>
      <x:c r="G5" s="15" t="str">
        <x:v>Owner role</x:v>
      </x:c>
      <x:c r="H5" s="15" t="str">
        <x:v>Depends on</x:v>
      </x:c>
      <x:c r="I5" s="15" t="str">
        <x:v>Why this matters</x:v>
      </x:c>
      <x:c r="J5" s="15" t="str">
        <x:v>Acceptance gate</x:v>
      </x:c>
      <x:c r="K5" s="15" t="str">
        <x:v>Evidence / verification level</x:v>
      </x:c>
      <x:c r="L5" s="15" t="str">
        <x:v>Local source evidence</x:v>
      </x:c>
      <x:c r="M5" s="15" t="str">
        <x:v>Release</x:v>
      </x:c>
      <x:c r="N5" s="15" t="str">
        <x:v>Source URL</x:v>
      </x:c>
    </x:row>
    <x:row r="6" ht="124" customHeight="1">
      <x:c r="A6" s="6" t="str">
        <x:v>V01</x:v>
      </x:c>
      <x:c r="B6" s="6" t="str">
        <x:v>Pinned A-Frame scene and same-origin assets</x:v>
      </x:c>
      <x:c r="C6" s="6" t="str">
        <x:v>Implemented</x:v>
      </x:c>
      <x:c r="D6" s="6" t="str">
        <x:v>P2</x:v>
      </x:c>
      <x:c r="E6" s="6" t="str">
        <x:v>M0</x:v>
      </x:c>
      <x:c r="F6" s="6" t="str">
        <x:v>Foundation</x:v>
      </x:c>
      <x:c r="G6" s="6" t="str">
        <x:v>Engineering / assignment pending</x:v>
      </x:c>
      <x:c r="H6" s="6" t="str">
        <x:v>None</x:v>
      </x:c>
      <x:c r="I6" s="6" t="str">
        <x:v>Start reliably without depending on remote runtime assets.</x:v>
      </x:c>
      <x:c r="J6" s="6" t="str">
        <x:v>Renderer starts and all runtime requests stay same-origin.</x:v>
      </x:c>
      <x:c r="K6" s="6" t="str">
        <x:v>Source implemented; software regression coverage. Physical acceptance is separate.</x:v>
      </x:c>
      <x:c r="L6" s="6" t="str">
        <x:v>index.html
vendor/
tests/launch.py</x:v>
      </x:c>
      <x:c r="M6" s="6" t="str">
        <x:v>Baseline through 0.6.0</x:v>
      </x:c>
      <x:c r="N6" s="6" t="str">
        <x:v>https://github.com/v5ma/v5ma.github.io/blob/master/vesperfall/index.html</x:v>
      </x:c>
    </x:row>
    <x:row r="7" ht="195" customHeight="1">
      <x:c r="A7" s="6" t="str">
        <x:v>V02</x:v>
      </x:c>
      <x:c r="B7" s="6" t="str">
        <x:v>Two-hand draw, nock and pose-loss cancellation</x:v>
      </x:c>
      <x:c r="C7" s="6" t="str">
        <x:v>Implemented</x:v>
      </x:c>
      <x:c r="D7" s="6" t="str">
        <x:v>P2</x:v>
      </x:c>
      <x:c r="E7" s="6" t="str">
        <x:v>M0</x:v>
      </x:c>
      <x:c r="F7" s="6" t="str">
        <x:v>Archery</x:v>
      </x:c>
      <x:c r="G7" s="6" t="str">
        <x:v>Gameplay / assignment pending</x:v>
      </x:c>
      <x:c r="H7" s="6" t="str">
        <x:v>None</x:v>
      </x:c>
      <x:c r="I7" s="6" t="str">
        <x:v>The shot must follow the real draw, including cancellation under tracking loss.</x:v>
      </x:c>
      <x:c r="J7" s="6" t="str">
        <x:v>Real controller poses produce direction and power; losses never fire a stale arrow.</x:v>
      </x:c>
      <x:c r="K7" s="6" t="str">
        <x:v>Source implemented; software regression coverage. Physical acceptance is separate. Goldwind adds an opt-in physical bow preset; exact model, native input and publication outcomes belong in its versioned evidence receipt. Classic/crossbow and Xbox remain. Real-device ergonomics and human acceptance are not closed.</x:v>
      </x:c>
      <x:c r="L7" s="6" t="str">
        <x:v>input.js
tests/core.test.cjs
tests/browser.py
GOLDWIND.md
goldwind-model.js
goldwind-xr.js
tests/goldwind.test.cjs
tests/goldwind-browser.py</x:v>
      </x:c>
      <x:c r="M7" s="6" t="str">
        <x:v>0.16.0 Goldwind</x:v>
      </x:c>
      <x:c r="N7" s="6" t="str">
        <x:v>https://github.com/v5ma/v5ma.github.io/blob/master/vesperfall/input.js</x:v>
      </x:c>
    </x:row>
    <x:row r="8" ht="124" customHeight="1">
      <x:c r="A8" s="6" t="str">
        <x:v>V03</x:v>
      </x:c>
      <x:c r="B8" s="6" t="str">
        <x:v>Swept arrows, cover and limited special ammunition</x:v>
      </x:c>
      <x:c r="C8" s="6" t="str">
        <x:v>Implemented</x:v>
      </x:c>
      <x:c r="D8" s="6" t="str">
        <x:v>P2</x:v>
      </x:c>
      <x:c r="E8" s="6" t="str">
        <x:v>M0</x:v>
      </x:c>
      <x:c r="F8" s="6" t="str">
        <x:v>Combat</x:v>
      </x:c>
      <x:c r="G8" s="6" t="str">
        <x:v>Gameplay / assignment pending</x:v>
      </x:c>
      <x:c r="H8" s="6" t="str">
        <x:v>None</x:v>
      </x:c>
      <x:c r="I8" s="6" t="str">
        <x:v>Precision is meaningful only when hits and cover are consistent.</x:v>
      </x:c>
      <x:c r="J8" s="6" t="str">
        <x:v>Hits stop at nearest geometry and ammo changes only on valid shots.</x:v>
      </x:c>
      <x:c r="K8" s="6" t="str">
        <x:v>Source implemented; software regression coverage. Physical acceptance is separate.</x:v>
      </x:c>
      <x:c r="L8" s="6" t="str">
        <x:v>core.js
tests/core.test.cjs</x:v>
      </x:c>
      <x:c r="M8" s="6" t="str">
        <x:v>Baseline through 0.6.0</x:v>
      </x:c>
      <x:c r="N8" s="6" t="str">
        <x:v>https://github.com/v5ma/v5ma.github.io/blob/master/vesperfall/core.js</x:v>
      </x:c>
    </x:row>
    <x:row r="9" ht="195" customHeight="1">
      <x:c r="A9" s="6" t="str">
        <x:v>V04</x:v>
      </x:c>
      <x:c r="B9" s="6" t="str">
        <x:v>Blink arrows and opt-in stick locomotion</x:v>
      </x:c>
      <x:c r="C9" s="6" t="str">
        <x:v>Implemented</x:v>
      </x:c>
      <x:c r="D9" s="6" t="str">
        <x:v>P2</x:v>
      </x:c>
      <x:c r="E9" s="6" t="str">
        <x:v>M0</x:v>
      </x:c>
      <x:c r="F9" s="6" t="str">
        <x:v>Traversal</x:v>
      </x:c>
      <x:c r="G9" s="6" t="str">
        <x:v>Level design / assignment pending</x:v>
      </x:c>
      <x:c r="H9" s="6" t="str">
        <x:v>None</x:v>
      </x:c>
      <x:c r="I9" s="6" t="str">
        <x:v>Preserve the established game while closing the stated acceptance gate.</x:v>
      </x:c>
      <x:c r="J9" s="6" t="str">
        <x:v>Shared projectile/preview first-hit collision; a widened upper-gallery target. A clear preview is not automatic aiming or permission to pass through solids. Goldwind travel is a temporary physically nocked golden arrow, not an equipment toggle. Its default hides arc/ring; an optional drawing-only path cannot authorize invalid landings.</x:v>
      </x:c>
      <x:c r="K9" s="6" t="str">
        <x:v>Source implemented; software regression coverage. Physical acceptance is separate. Goldwind adds an opt-in physical bow preset; exact model, native input and publication outcomes belong in its versioned evidence receipt. Classic/crossbow and Xbox remain. Real-device ergonomics and human acceptance are not closed.</x:v>
      </x:c>
      <x:c r="L9" s="6" t="str">
        <x:v>GOLDWIND.md
goldwind-model.js
goldwind-xr.js
tests/goldwind.test.cjs
tests/goldwind-browser.py</x:v>
      </x:c>
      <x:c r="M9" s="6" t="str">
        <x:v>0.16.0 Goldwind</x:v>
      </x:c>
      <x:c r="N9" s="6" t="str">
        <x:v>https://github.com/v5ma/v5ma.github.io/blob/master/vesperfall/GOLDWIND.md</x:v>
      </x:c>
    </x:row>
    <x:row r="10" ht="124" customHeight="1">
      <x:c r="A10" s="6" t="str">
        <x:v>V05</x:v>
      </x:c>
      <x:c r="B10" s="6" t="str">
        <x:v>Connected seeded cloisters and branching paths</x:v>
      </x:c>
      <x:c r="C10" s="6" t="str">
        <x:v>Implemented</x:v>
      </x:c>
      <x:c r="D10" s="6" t="str">
        <x:v>P2</x:v>
      </x:c>
      <x:c r="E10" s="6" t="str">
        <x:v>M0</x:v>
      </x:c>
      <x:c r="F10" s="6" t="str">
        <x:v>World</x:v>
      </x:c>
      <x:c r="G10" s="6" t="str">
        <x:v>Level design / assignment pending</x:v>
      </x:c>
      <x:c r="H10" s="6" t="str">
        <x:v>None</x:v>
      </x:c>
      <x:c r="I10" s="6" t="str">
        <x:v>Preserve the established game while closing the stated acceptance gate.</x:v>
      </x:c>
      <x:c r="J10" s="6" t="str">
        <x:v>25 seeded districts with nonuniform plans, connected ground approaches and reversible elevated loops. Same seed/depth reproduces the layout. No streaming-world claim.</x:v>
      </x:c>
      <x:c r="K10" s="6" t="str">
        <x:v>Source implemented; software regression coverage. Physical acceptance is separate.</x:v>
      </x:c>
      <x:c r="L10" s="6" t="str">
        <x:v>dominions-world.js
tests/dominions.test.cjs</x:v>
      </x:c>
      <x:c r="M10" s="6" t="str">
        <x:v>0.7.0</x:v>
      </x:c>
      <x:c r="N10" s="6" t="str">
        <x:v>https://github.com/v5ma/v5ma.github.io/blob/master/vesperfall/dominions-world.js</x:v>
      </x:c>
    </x:row>
    <x:row r="11" ht="124" customHeight="1">
      <x:c r="A11" s="6" t="str">
        <x:v>V06</x:v>
      </x:c>
      <x:c r="B11" s="6" t="str">
        <x:v>Wardens, beacon, blessings and local renown</x:v>
      </x:c>
      <x:c r="C11" s="6" t="str">
        <x:v>Implemented</x:v>
      </x:c>
      <x:c r="D11" s="6" t="str">
        <x:v>P2</x:v>
      </x:c>
      <x:c r="E11" s="6" t="str">
        <x:v>M0</x:v>
      </x:c>
      <x:c r="F11" s="6" t="str">
        <x:v>Progression</x:v>
      </x:c>
      <x:c r="G11" s="6" t="str">
        <x:v>Engineering / assignment pending</x:v>
      </x:c>
      <x:c r="H11" s="6" t="str">
        <x:v>None</x:v>
      </x:c>
      <x:c r="I11" s="6" t="str">
        <x:v>Preserve the established game while closing the stated acceptance gate.</x:v>
      </x:c>
      <x:c r="J11" s="6" t="str">
        <x:v>An ordinary-input mission reaches the next sector; completion cannot be banked twice.</x:v>
      </x:c>
      <x:c r="K11" s="6" t="str">
        <x:v>Source implemented; software regression coverage. Physical acceptance is separate.</x:v>
      </x:c>
      <x:c r="L11" s="6" t="str">
        <x:v>chronicle.js
tests/unchained-combat.py
tests/pilgrim.test.cjs</x:v>
      </x:c>
      <x:c r="M11" s="6" t="str">
        <x:v>Baseline through 0.6.0</x:v>
      </x:c>
      <x:c r="N11" s="6" t="str">
        <x:v>https://github.com/v5ma/v5ma.github.io/blob/master/vesperfall/chronicle.js</x:v>
      </x:c>
    </x:row>
    <x:row r="12" ht="124" customHeight="1">
      <x:c r="A12" s="6" t="str">
        <x:v>V07</x:v>
      </x:c>
      <x:c r="B12" s="6" t="str">
        <x:v>Spatial pause, handedness and shorter draw</x:v>
      </x:c>
      <x:c r="C12" s="6" t="str">
        <x:v>Implemented</x:v>
      </x:c>
      <x:c r="D12" s="6" t="str">
        <x:v>P2</x:v>
      </x:c>
      <x:c r="E12" s="6" t="str">
        <x:v>M0</x:v>
      </x:c>
      <x:c r="F12" s="6" t="str">
        <x:v>Comfort</x:v>
      </x:c>
      <x:c r="G12" s="6" t="str">
        <x:v>UX / accessibility / assignment pending</x:v>
      </x:c>
      <x:c r="H12" s="6" t="str">
        <x:v>None</x:v>
      </x:c>
      <x:c r="I12" s="6" t="str">
        <x:v>Preserve the established game while closing the stated acceptance gate.</x:v>
      </x:c>
      <x:c r="J12" s="6" t="str">
        <x:v>All essential actions can be completed in-headset, with cancelled inputs on transitions.</x:v>
      </x:c>
      <x:c r="K12" s="6" t="str">
        <x:v>Source implemented; software regression coverage. Physical acceptance is separate.</x:v>
      </x:c>
      <x:c r="L12" s="6" t="str"/>
      <x:c r="M12" s="6" t="str">
        <x:v>Baseline through 0.6.0</x:v>
      </x:c>
      <x:c r="N12" s="6" t="str">
        <x:v>https://github.com/v5ma/v5ma.github.io/blob/master/vesperfall/roadmap.json</x:v>
      </x:c>
    </x:row>
    <x:row r="13" ht="124" customHeight="1">
      <x:c r="A13" s="6" t="str">
        <x:v>V08</x:v>
      </x:c>
      <x:c r="B13" s="6" t="str">
        <x:v>Quest 3 bow alignment and physical draw feel</x:v>
      </x:c>
      <x:c r="C13" s="6" t="str">
        <x:v>Hardware QA</x:v>
      </x:c>
      <x:c r="D13" s="6" t="str">
        <x:v>P0</x:v>
      </x:c>
      <x:c r="E13" s="6" t="str">
        <x:v>M4</x:v>
      </x:c>
      <x:c r="F13" s="6" t="str">
        <x:v>Hardware</x:v>
      </x:c>
      <x:c r="G13" s="6" t="str">
        <x:v>Device QA / assignment pending</x:v>
      </x:c>
      <x:c r="H13" s="6" t="str">
        <x:v>None</x:v>
      </x:c>
      <x:c r="I13" s="6" t="str">
        <x:v>A software fixture cannot tell us how a person feels or how a real device sustains the experience.</x:v>
      </x:c>
      <x:c r="J13" s="6" t="str">
        <x:v>Record actual headset/browser version and both handedness tests. No API fixture substitutes.</x:v>
      </x:c>
      <x:c r="K13" s="6" t="str">
        <x:v>No physical device receipt yet.</x:v>
      </x:c>
      <x:c r="L13" s="6" t="str"/>
      <x:c r="M13" s="6" t="str"/>
      <x:c r="N13" s="6" t="str">
        <x:v>https://github.com/v5ma/v5ma.github.io/blob/master/vesperfall/roadmap.json</x:v>
      </x:c>
    </x:row>
    <x:row r="14" ht="124" customHeight="1">
      <x:c r="A14" s="6" t="str">
        <x:v>V09</x:v>
      </x:c>
      <x:c r="B14" s="6" t="str">
        <x:v>Quest 3 sustained rendering and comfort</x:v>
      </x:c>
      <x:c r="C14" s="6" t="str">
        <x:v>Hardware QA</x:v>
      </x:c>
      <x:c r="D14" s="6" t="str">
        <x:v>P0</x:v>
      </x:c>
      <x:c r="E14" s="6" t="str">
        <x:v>M4</x:v>
      </x:c>
      <x:c r="F14" s="6" t="str">
        <x:v>Hardware</x:v>
      </x:c>
      <x:c r="G14" s="6" t="str">
        <x:v>Device QA / assignment pending</x:v>
      </x:c>
      <x:c r="H14" s="6" t="str">
        <x:v>None</x:v>
      </x:c>
      <x:c r="I14" s="6" t="str">
        <x:v>A software fixture cannot tell us how a person feels or how a real device sustains the experience.</x:v>
      </x:c>
      <x:c r="J14" s="6" t="str">
        <x:v>Measure frame-time distribution, draw calls, thermal behavior, floor and snap turning on hardware.</x:v>
      </x:c>
      <x:c r="K14" s="6" t="str">
        <x:v>No physical device receipt yet.</x:v>
      </x:c>
      <x:c r="L14" s="6" t="str"/>
      <x:c r="M14" s="6" t="str"/>
      <x:c r="N14" s="6" t="str">
        <x:v>https://github.com/v5ma/v5ma.github.io/blob/master/vesperfall/roadmap.json</x:v>
      </x:c>
    </x:row>
    <x:row r="15" ht="124" customHeight="1">
      <x:c r="A15" s="6" t="str">
        <x:v>V10</x:v>
      </x:c>
      <x:c r="B15" s="6" t="str">
        <x:v>Real Xbox and touch controllers</x:v>
      </x:c>
      <x:c r="C15" s="6" t="str">
        <x:v>Hardware QA</x:v>
      </x:c>
      <x:c r="D15" s="6" t="str">
        <x:v>P0</x:v>
      </x:c>
      <x:c r="E15" s="6" t="str">
        <x:v>M4</x:v>
      </x:c>
      <x:c r="F15" s="6" t="str">
        <x:v>Hardware</x:v>
      </x:c>
      <x:c r="G15" s="6" t="str">
        <x:v>Device QA / assignment pending</x:v>
      </x:c>
      <x:c r="H15" s="6" t="str">
        <x:v>None</x:v>
      </x:c>
      <x:c r="I15" s="6" t="str">
        <x:v>A software fixture cannot tell us how a person feels or how a real device sustains the experience.</x:v>
      </x:c>
      <x:c r="J15" s="6" t="str">
        <x:v>Pair, reconnect, suspend and resume real USB/Bluetooth controllers and a phone.</x:v>
      </x:c>
      <x:c r="K15" s="6" t="str">
        <x:v>No physical device receipt yet.</x:v>
      </x:c>
      <x:c r="L15" s="6" t="str"/>
      <x:c r="M15" s="6" t="str"/>
      <x:c r="N15" s="6" t="str">
        <x:v>https://github.com/v5ma/v5ma.github.io/blob/master/vesperfall/roadmap.json</x:v>
      </x:c>
    </x:row>
    <x:row r="16" ht="124" customHeight="1">
      <x:c r="A16" s="6" t="str">
        <x:v>V11</x:v>
      </x:c>
      <x:c r="B16" s="6" t="str">
        <x:v>Six room families, reversible skywalk and two-level belfry</x:v>
      </x:c>
      <x:c r="C16" s="6" t="str">
        <x:v>Implemented</x:v>
      </x:c>
      <x:c r="D16" s="6" t="str">
        <x:v>P2</x:v>
      </x:c>
      <x:c r="E16" s="6" t="str">
        <x:v>M0</x:v>
      </x:c>
      <x:c r="F16" s="6" t="str">
        <x:v>World</x:v>
      </x:c>
      <x:c r="G16" s="6" t="str">
        <x:v>Level design / assignment pending</x:v>
      </x:c>
      <x:c r="H16" s="6" t="str">
        <x:v>None</x:v>
      </x:c>
      <x:c r="I16" s="6" t="str">
        <x:v>Preserve the established game while closing the stated acceptance gate.</x:v>
      </x:c>
      <x:c r="J16" s="6" t="str">
        <x:v>Six inner architecture families and sixteen outer district families, reversible skywalks and playable 6.4m belfries. Geometry and routes are tested separately from human enjoyment.</x:v>
      </x:c>
      <x:c r="K16" s="6" t="str">
        <x:v>Source implemented; software regression coverage. Physical acceptance is separate.</x:v>
      </x:c>
      <x:c r="L16" s="6" t="str">
        <x:v>districts.js
dominions-world.js
tests/cathedral-browser.py</x:v>
      </x:c>
      <x:c r="M16" s="6" t="str">
        <x:v>Baseline through 0.6.0</x:v>
      </x:c>
      <x:c r="N16" s="6" t="str">
        <x:v>https://github.com/v5ma/v5ma.github.io/blob/master/vesperfall/districts.js</x:v>
      </x:c>
    </x:row>
    <x:row r="17" ht="124" customHeight="1">
      <x:c r="A17" s="6" t="str">
        <x:v>V12</x:v>
      </x:c>
      <x:c r="B17" s="6" t="str">
        <x:v>Crossbow, deliberate timed reload and independent weapon model</x:v>
      </x:c>
      <x:c r="C17" s="6" t="str">
        <x:v>Implemented</x:v>
      </x:c>
      <x:c r="D17" s="6" t="str">
        <x:v>P2</x:v>
      </x:c>
      <x:c r="E17" s="6" t="str">
        <x:v>M0</x:v>
      </x:c>
      <x:c r="F17" s="6" t="str">
        <x:v>Archery</x:v>
      </x:c>
      <x:c r="G17" s="6" t="str">
        <x:v>Gameplay / assignment pending</x:v>
      </x:c>
      <x:c r="H17" s="6" t="str">
        <x:v>None</x:v>
      </x:c>
      <x:c r="I17" s="6" t="str">
        <x:v>Preserve the established game while closing the stated acceptance gate.</x:v>
      </x:c>
      <x:c r="J17" s="6" t="str">
        <x:v>Loaded/empty state and timed button reload are preserved alongside the physical winding interaction. No weapon-swap refill.</x:v>
      </x:c>
      <x:c r="K17" s="6" t="str">
        <x:v>Source implemented; software regression coverage. Physical acceptance is separate.</x:v>
      </x:c>
      <x:c r="L17" s="6" t="str">
        <x:v>arsenal.js
ritual-model.js
tests/resonant.test.cjs</x:v>
      </x:c>
      <x:c r="M17" s="6" t="str">
        <x:v>0.3.0 / 0.8.0</x:v>
      </x:c>
      <x:c r="N17" s="6" t="str">
        <x:v>https://github.com/v5ma/v5ma.github.io/blob/master/vesperfall/arsenal.js</x:v>
      </x:c>
    </x:row>
    <x:row r="18" ht="124" customHeight="1">
      <x:c r="A18" s="6" t="str">
        <x:v>V13</x:v>
      </x:c>
      <x:c r="B18" s="6" t="str">
        <x:v>Shield weak points and coordinated enemy behavior</x:v>
      </x:c>
      <x:c r="C18" s="6" t="str">
        <x:v>Partial</x:v>
      </x:c>
      <x:c r="D18" s="6" t="str">
        <x:v>P1</x:v>
      </x:c>
      <x:c r="E18" s="6" t="str">
        <x:v>M2</x:v>
      </x:c>
      <x:c r="F18" s="6" t="str">
        <x:v>Combat</x:v>
      </x:c>
      <x:c r="G18" s="6" t="str">
        <x:v>Gameplay / assignment pending</x:v>
      </x:c>
      <x:c r="H18" s="6" t="str">
        <x:v>V26</x:v>
      </x:c>
      <x:c r="I18" s="6" t="str">
        <x:v>Preserve the established game while closing the stated acceptance gate.</x:v>
      </x:c>
      <x:c r="J18" s="6" t="str">
        <x:v>Directional guard and weak-point counterplay exist. Group attack coordination, fair ranged/melee overlap and offscreen threat budgets still need an encounter director.</x:v>
      </x:c>
      <x:c r="K18" s="6" t="str">
        <x:v>Individual enemies tested; encounter-direction gate remains open.</x:v>
      </x:c>
      <x:c r="L18" s="6" t="str">
        <x:v>encounters.js
bestiary.js</x:v>
      </x:c>
      <x:c r="M18" s="6" t="str"/>
      <x:c r="N18" s="6" t="str">
        <x:v>https://github.com/v5ma/v5ma.github.io/blob/master/vesperfall/encounters.js</x:v>
      </x:c>
    </x:row>
    <x:row r="19" ht="124" customHeight="1">
      <x:c r="A19" s="6" t="str">
        <x:v>V14</x:v>
      </x:c>
      <x:c r="B19" s="6" t="str">
        <x:v>Refined original creatures, bow animation and spatial audio</x:v>
      </x:c>
      <x:c r="C19" s="6" t="str">
        <x:v>Partial</x:v>
      </x:c>
      <x:c r="D19" s="6" t="str">
        <x:v>P1</x:v>
      </x:c>
      <x:c r="E19" s="6" t="str">
        <x:v>M3</x:v>
      </x:c>
      <x:c r="F19" s="6" t="str">
        <x:v>Presentation</x:v>
      </x:c>
      <x:c r="G19" s="6" t="str">
        <x:v>Art / audio</x:v>
      </x:c>
      <x:c r="H19" s="6" t="str">
        <x:v>None</x:v>
      </x:c>
      <x:c r="I19" s="6" t="str">
        <x:v>Preserve the established game while closing the stated acceptance gate.</x:v>
      </x:c>
      <x:c r="J19" s="6" t="str">
        <x:v>Spatial sound, reflective equipment and readable procedural creatures exist. Authored rigged enemy/hand assets, animation blending and polished reactions remain open.</x:v>
      </x:c>
      <x:c r="K19" s="6" t="str">
        <x:v>Surestep adds articulated procedural knees/elbows, distance-driven steps and world-space foot planting for the 12 outer humanoid archetypes. Fixed-length IK and reset/freeze cases have model coverage. Authored production meshes, mocap/blending, hit reactions and human art review remain open.</x:v>
      </x:c>
      <x:c r="L19" s="6" t="str">
        <x:v>resonance-audio.js
dominion-art.js
surestep-art.js
surestep-model.js
tests/surestep.test.cjs
SURESTEP.md</x:v>
      </x:c>
      <x:c r="M19" s="6" t="str"/>
      <x:c r="N19" s="6" t="str">
        <x:v>https://github.com/v5ma/v5ma.github.io/blob/master/vesperfall/resonance-audio.js</x:v>
      </x:c>
    </x:row>
    <x:row r="20" ht="124" customHeight="1">
      <x:c r="A20" s="6" t="str">
        <x:v>V15</x:v>
      </x:c>
      <x:c r="B20" s="6" t="str">
        <x:v>Pilgrim's Rest: save and continue a complete scored expedition</x:v>
      </x:c>
      <x:c r="C20" s="6" t="str">
        <x:v>Implemented</x:v>
      </x:c>
      <x:c r="D20" s="6" t="str">
        <x:v>P0</x:v>
      </x:c>
      <x:c r="E20" s="6" t="str">
        <x:v>M1</x:v>
      </x:c>
      <x:c r="F20" s="6" t="str">
        <x:v>Progression</x:v>
      </x:c>
      <x:c r="G20" s="6" t="str">
        <x:v>Engineering / assignment pending</x:v>
      </x:c>
      <x:c r="H20" s="6" t="str">
        <x:v>V06, V21</x:v>
      </x:c>
      <x:c r="I20" s="6" t="str">
        <x:v>Long exploration needs interruption-safe continuity, not just permanent unlocks.</x:v>
      </x:c>
      <x:c r="J20" s="6" t="str">
        <x:v>Regenerate the exact world; restore enemies, supplies, projectiles, equipment and timers; preserve banked receipts in one bounded envelope. Continue waits paused. Practice/AR cannot overwrite scored saves.</x:v>
      </x:c>
      <x:c r="K20" s="6" t="str">
        <x:v>Model and native browser/controller release gates; physical lifecycle QA remains open.</x:v>
      </x:c>
      <x:c r="L20" s="6" t="str">
        <x:v>pilgrim-save.js
pilgrim-rest.js
tests/pilgrim.test.cjs
tests/pilgrim-browser.py</x:v>
      </x:c>
      <x:c r="M20" s="6" t="str">
        <x:v>0.9.0</x:v>
      </x:c>
      <x:c r="N20" s="6" t="str">
        <x:v>https://github.com/v5ma/v5ma.github.io/blob/master/vesperfall/pilgrim-save.js</x:v>
      </x:c>
    </x:row>
    <x:row r="21" ht="124" customHeight="1">
      <x:c r="A21" s="6" t="str">
        <x:v>V16</x:v>
      </x:c>
      <x:c r="B21" s="6" t="str">
        <x:v>Player evaluation of difficulty and enjoyment</x:v>
      </x:c>
      <x:c r="C21" s="6" t="str">
        <x:v>Planned</x:v>
      </x:c>
      <x:c r="D21" s="6" t="str">
        <x:v>P1</x:v>
      </x:c>
      <x:c r="E21" s="6" t="str">
        <x:v>M5</x:v>
      </x:c>
      <x:c r="F21" s="6" t="str">
        <x:v>Testing</x:v>
      </x:c>
      <x:c r="G21" s="6" t="str">
        <x:v>QA / play research / assignment pending</x:v>
      </x:c>
      <x:c r="H21" s="6" t="str">
        <x:v>None</x:v>
      </x:c>
      <x:c r="I21" s="6" t="str">
        <x:v>A software fixture cannot tell us how a person feels or how a real device sustains the experience.</x:v>
      </x:c>
      <x:c r="J21" s="6" t="str">
        <x:v>Record first-run usability, fatigue and repeat-play feedback; counts do not certify fun.</x:v>
      </x:c>
      <x:c r="K21" s="6" t="str">
        <x:v>Not closed.</x:v>
      </x:c>
      <x:c r="L21" s="6" t="str"/>
      <x:c r="M21" s="6" t="str"/>
      <x:c r="N21" s="6" t="str">
        <x:v>https://github.com/v5ma/v5ma.github.io/blob/master/vesperfall/roadmap.json</x:v>
      </x:c>
    </x:row>
    <x:row r="22" ht="124" customHeight="1">
      <x:c r="A22" s="6" t="str">
        <x:v>V17</x:v>
      </x:c>
      <x:c r="B22" s="6" t="str">
        <x:v>Optional opt-in challenge sharing</x:v>
      </x:c>
      <x:c r="C22" s="6" t="str">
        <x:v>Deferred</x:v>
      </x:c>
      <x:c r="D22" s="6" t="str">
        <x:v>P1</x:v>
      </x:c>
      <x:c r="E22" s="6" t="str">
        <x:v>M6</x:v>
      </x:c>
      <x:c r="F22" s="6" t="str">
        <x:v>Online</x:v>
      </x:c>
      <x:c r="G22" s="6" t="str">
        <x:v>Online engineering / assignment pending</x:v>
      </x:c>
      <x:c r="H22" s="6" t="str">
        <x:v>None</x:v>
      </x:c>
      <x:c r="I22" s="6" t="str">
        <x:v>Preserve the established game while closing the stated acceptance gate.</x:v>
      </x:c>
      <x:c r="J22" s="6" t="str">
        <x:v>No accounts or remote data until explicitly designed and authorized.</x:v>
      </x:c>
      <x:c r="K22" s="6" t="str">
        <x:v>Not closed.</x:v>
      </x:c>
      <x:c r="L22" s="6" t="str"/>
      <x:c r="M22" s="6" t="str"/>
      <x:c r="N22" s="6" t="str">
        <x:v>https://github.com/v5ma/v5ma.github.io/blob/master/vesperfall/roadmap.json</x:v>
      </x:c>
    </x:row>
    <x:row r="23" ht="195" customHeight="1">
      <x:c r="A23" s="6" t="str">
        <x:v>V18</x:v>
      </x:c>
      <x:c r="B23" s="6" t="str">
        <x:v>Directional Wardglass shield, break and recovery</x:v>
      </x:c>
      <x:c r="C23" s="6" t="str">
        <x:v>Implemented</x:v>
      </x:c>
      <x:c r="D23" s="6" t="str">
        <x:v>P2</x:v>
      </x:c>
      <x:c r="E23" s="6" t="str">
        <x:v>M0</x:v>
      </x:c>
      <x:c r="F23" s="6" t="str">
        <x:v>Combat</x:v>
      </x:c>
      <x:c r="G23" s="6" t="str">
        <x:v>Gameplay / assignment pending</x:v>
      </x:c>
      <x:c r="H23" s="6" t="str">
        <x:v>None</x:v>
      </x:c>
      <x:c r="I23" s="6" t="str">
        <x:v>Preserve the established game while closing the stated acceptance gate.</x:v>
      </x:c>
      <x:c r="J23" s="6" t="str">
        <x:v>Front-face swept blocking before body impact; side/rear exposure, guard cost, tracking cancellation and no simultaneous firing.</x:v>
      </x:c>
      <x:c r="K23" s="6" t="str">
        <x:v>Source implemented; software regression coverage. Physical acceptance is separate. Goldwind adds an opt-in physical bow preset; exact model, native input and publication outcomes belong in its versioned evidence receipt. Classic/crossbow and Xbox remain. Real-device ergonomics and human acceptance are not closed.</x:v>
      </x:c>
      <x:c r="L23" s="6" t="str">
        <x:v>GOLDWIND.md
goldwind-model.js
goldwind-xr.js
tests/goldwind.test.cjs
tests/goldwind-browser.py</x:v>
      </x:c>
      <x:c r="M23" s="6" t="str">
        <x:v>0.16.0 Goldwind</x:v>
      </x:c>
      <x:c r="N23" s="6" t="str">
        <x:v>https://github.com/v5ma/v5ma.github.io/blob/master/vesperfall/GOLDWIND.md</x:v>
      </x:c>
    </x:row>
    <x:row r="24" ht="195" customHeight="1">
      <x:c r="A24" s="6" t="str">
        <x:v>V19</x:v>
      </x:c>
      <x:c r="B24" s="6" t="str">
        <x:v>Regenerating supported-ground shard steps</x:v>
      </x:c>
      <x:c r="C24" s="6" t="str">
        <x:v>Implemented</x:v>
      </x:c>
      <x:c r="D24" s="6" t="str">
        <x:v>P2</x:v>
      </x:c>
      <x:c r="E24" s="6" t="str">
        <x:v>M0</x:v>
      </x:c>
      <x:c r="F24" s="6" t="str">
        <x:v>Traversal</x:v>
      </x:c>
      <x:c r="G24" s="6" t="str">
        <x:v>Level design / assignment pending</x:v>
      </x:c>
      <x:c r="H24" s="6" t="str">
        <x:v>None</x:v>
      </x:c>
      <x:c r="I24" s="6" t="str">
        <x:v>Preserve the established game while closing the stated acceptance gate.</x:v>
      </x:c>
      <x:c r="J24" s="6" t="str">
        <x:v>Retain supported-ground button steps in Classic/Xbox. Goldwind's thrown disk must resolve real flight before one charged relocation, with continuous support, footprint clearance and no cliff crossing or wall tunneling.</x:v>
      </x:c>
      <x:c r="K24" s="6" t="str">
        <x:v>Source implemented; software regression coverage. Physical acceptance is separate. Goldwind adds an opt-in physical bow preset; exact model, native input and publication outcomes belong in its versioned evidence receipt. Classic/crossbow and Xbox remain. Real-device ergonomics and human acceptance are not closed.</x:v>
      </x:c>
      <x:c r="L24" s="6" t="str">
        <x:v>GOLDWIND.md
goldwind-model.js
goldwind-xr.js
tests/goldwind.test.cjs
tests/goldwind-browser.py</x:v>
      </x:c>
      <x:c r="M24" s="6" t="str">
        <x:v>0.16.0 Goldwind</x:v>
      </x:c>
      <x:c r="N24" s="6" t="str">
        <x:v>https://github.com/v5ma/v5ma.github.io/blob/master/vesperfall/GOLDWIND.md</x:v>
      </x:c>
    </x:row>
    <x:row r="25" ht="124" customHeight="1">
      <x:c r="A25" s="6" t="str">
        <x:v>V20</x:v>
      </x:c>
      <x:c r="B25" s="6" t="str">
        <x:v>Limited three-arrow Volley and precision hits</x:v>
      </x:c>
      <x:c r="C25" s="6" t="str">
        <x:v>Implemented</x:v>
      </x:c>
      <x:c r="D25" s="6" t="str">
        <x:v>P2</x:v>
      </x:c>
      <x:c r="E25" s="6" t="str">
        <x:v>M0</x:v>
      </x:c>
      <x:c r="F25" s="6" t="str">
        <x:v>Archery</x:v>
      </x:c>
      <x:c r="G25" s="6" t="str">
        <x:v>Gameplay / assignment pending</x:v>
      </x:c>
      <x:c r="H25" s="6" t="str">
        <x:v>None</x:v>
      </x:c>
      <x:c r="I25" s="6" t="str">
        <x:v>Preserve the established game while closing the stated acceptance gate.</x:v>
      </x:c>
      <x:c r="J25" s="6" t="str">
        <x:v>Three independent projectiles consume one charge; actual weak-point hits earn counters.</x:v>
      </x:c>
      <x:c r="K25" s="6" t="str">
        <x:v>Source implemented; software regression coverage. Physical acceptance is separate.</x:v>
      </x:c>
      <x:c r="L25" s="6" t="str"/>
      <x:c r="M25" s="6" t="str">
        <x:v>Baseline through 0.6.0</x:v>
      </x:c>
      <x:c r="N25" s="6" t="str">
        <x:v>https://github.com/v5ma/v5ma.github.io/blob/master/vesperfall/roadmap.json</x:v>
      </x:c>
    </x:row>
    <x:row r="26" ht="124" customHeight="1">
      <x:c r="A26" s="6" t="str">
        <x:v>V21</x:v>
      </x:c>
      <x:c r="B26" s="6" t="str">
        <x:v>Permanent Chronicle milestones and optional Nightfall</x:v>
      </x:c>
      <x:c r="C26" s="6" t="str">
        <x:v>Implemented</x:v>
      </x:c>
      <x:c r="D26" s="6" t="str">
        <x:v>P2</x:v>
      </x:c>
      <x:c r="E26" s="6" t="str">
        <x:v>M0</x:v>
      </x:c>
      <x:c r="F26" s="6" t="str">
        <x:v>Progression</x:v>
      </x:c>
      <x:c r="G26" s="6" t="str">
        <x:v>Engineering / assignment pending</x:v>
      </x:c>
      <x:c r="H26" s="6" t="str">
        <x:v>None</x:v>
      </x:c>
      <x:c r="I26" s="6" t="str">
        <x:v>Preserve the established game while closing the stated acceptance gate.</x:v>
      </x:c>
      <x:c r="J26" s="6" t="str">
        <x:v>Idempotent run-counter banking, retained legacy purchases, no practice farming and new-run application.</x:v>
      </x:c>
      <x:c r="K26" s="6" t="str">
        <x:v>Source implemented; software regression coverage. Physical acceptance is separate.</x:v>
      </x:c>
      <x:c r="L26" s="6" t="str">
        <x:v>chronicle.js
tests/unchained-combat.py
tests/pilgrim.test.cjs</x:v>
      </x:c>
      <x:c r="M26" s="6" t="str">
        <x:v>Baseline through 0.6.0</x:v>
      </x:c>
      <x:c r="N26" s="6" t="str">
        <x:v>https://github.com/v5ma/v5ma.github.io/blob/master/vesperfall/chronicle.js</x:v>
      </x:c>
    </x:row>
    <x:row r="27" ht="124" customHeight="1">
      <x:c r="A27" s="6" t="str">
        <x:v>V22</x:v>
      </x:c>
      <x:c r="B27" s="6" t="str">
        <x:v>Twilight/daylight, original equipment and quiet synthetic ambience</x:v>
      </x:c>
      <x:c r="C27" s="6" t="str">
        <x:v>Implemented</x:v>
      </x:c>
      <x:c r="D27" s="6" t="str">
        <x:v>P2</x:v>
      </x:c>
      <x:c r="E27" s="6" t="str">
        <x:v>M0</x:v>
      </x:c>
      <x:c r="F27" s="6" t="str">
        <x:v>Presentation</x:v>
      </x:c>
      <x:c r="G27" s="6" t="str">
        <x:v>Art / audio / assignment pending</x:v>
      </x:c>
      <x:c r="H27" s="6" t="str">
        <x:v>None</x:v>
      </x:c>
      <x:c r="I27" s="6" t="str">
        <x:v>Preserve the established game while closing the stated acceptance gate.</x:v>
      </x:c>
      <x:c r="J27" s="6" t="str">
        <x:v>Twilight/daylight and original equipment remain. Five synthesized score arrangements and bounded spatial sound now replace the minimal ambience; independent mix controls and explicit mute are preserved.</x:v>
      </x:c>
      <x:c r="K27" s="6" t="str">
        <x:v>Source implemented; software regression coverage. Physical acceptance is separate.</x:v>
      </x:c>
      <x:c r="L27" s="6" t="str">
        <x:v>resonance-score.js
resonance-audio.js
tests/resonant-browser.py</x:v>
      </x:c>
      <x:c r="M27" s="6" t="str">
        <x:v>0.8.0</x:v>
      </x:c>
      <x:c r="N27" s="6" t="str">
        <x:v>https://github.com/v5ma/v5ma.github.io/blob/master/vesperfall/resonance-score.js</x:v>
      </x:c>
    </x:row>
    <x:row r="28" ht="124" customHeight="1">
      <x:c r="A28" s="6" t="str">
        <x:v>V23</x:v>
      </x:c>
      <x:c r="B28" s="6" t="str">
        <x:v>Complete scored expedition and new-device acceptance</x:v>
      </x:c>
      <x:c r="C28" s="6" t="str">
        <x:v>Partial</x:v>
      </x:c>
      <x:c r="D28" s="6" t="str">
        <x:v>P1</x:v>
      </x:c>
      <x:c r="E28" s="6" t="str">
        <x:v>M5</x:v>
      </x:c>
      <x:c r="F28" s="6" t="str">
        <x:v>Testing</x:v>
      </x:c>
      <x:c r="G28" s="6" t="str">
        <x:v>QA / play research / assignment pending</x:v>
      </x:c>
      <x:c r="H28" s="6" t="str">
        <x:v>None</x:v>
      </x:c>
      <x:c r="I28" s="6" t="str">
        <x:v>Preserve the established game while closing the stated acceptance gate.</x:v>
      </x:c>
      <x:c r="J28" s="6" t="str">
        <x:v>Ordinary-input scored expeditions, beacon blessings and persistent rewards have software coverage. Real-device reconnection, comfort, endurance and broad seed/device matrices remain open.</x:v>
      </x:c>
      <x:c r="K28" s="6" t="str">
        <x:v>Software coverage exists; physical/new-device acceptance is separate.</x:v>
      </x:c>
      <x:c r="L28" s="6" t="str">
        <x:v>tests/unchained-combat.py
tests/browser.py</x:v>
      </x:c>
      <x:c r="M28" s="6" t="str"/>
      <x:c r="N28" s="6" t="str">
        <x:v>https://github.com/v5ma/v5ma.github.io/blob/master/vesperfall/tests/unchained-combat.py</x:v>
      </x:c>
    </x:row>
    <x:row r="29" ht="195" customHeight="1">
      <x:c r="A29" s="6" t="str">
        <x:v>V24</x:v>
      </x:c>
      <x:c r="B29" s="6" t="str">
        <x:v>Physical thrown shard and richer vertical route families</x:v>
      </x:c>
      <x:c r="C29" s="6" t="str">
        <x:v>Partial</x:v>
      </x:c>
      <x:c r="D29" s="6" t="str">
        <x:v>P1</x:v>
      </x:c>
      <x:c r="E29" s="6" t="str">
        <x:v>M1</x:v>
      </x:c>
      <x:c r="F29" s="6" t="str">
        <x:v>Traversal</x:v>
      </x:c>
      <x:c r="G29" s="6" t="str">
        <x:v>Level design / assignment pending</x:v>
      </x:c>
      <x:c r="H29" s="6" t="str">
        <x:v>None</x:v>
      </x:c>
      <x:c r="I29" s="6" t="str">
        <x:v>Preserve the established game while closing the stated acceptance gate.</x:v>
      </x:c>
      <x:c r="J29" s="6" t="str">
        <x:v>Readable trajectories, safe valid landings, comfortable two-handed controls and alternative routes; no forced headset motion.</x:v>
      </x:c>
      <x:c r="K29" s="6" t="str">
        <x:v>Physical disk acquisition, recent-motion release recognition, swept flight and supported-ground relocation are implemented for the Goldwind bow preset. A drop, pose jump, missing tracking or blocked impact cannot teleport. Richer generated route families and physical-device approval remain open.</x:v>
      </x:c>
      <x:c r="L29" s="6" t="str">
        <x:v>GOLDWIND.md
goldwind-model.js
goldwind-xr.js
tests/goldwind.test.cjs
tests/goldwind-browser.py</x:v>
      </x:c>
      <x:c r="M29" s="6" t="str">
        <x:v>0.16.0 Goldwind</x:v>
      </x:c>
      <x:c r="N29" s="6" t="str">
        <x:v>https://github.com/v5ma/v5ma.github.io/blob/master/vesperfall/GOLDWIND.md</x:v>
      </x:c>
    </x:row>
    <x:row r="30" ht="124" customHeight="1">
      <x:c r="A30" s="6" t="str">
        <x:v>V25</x:v>
      </x:c>
      <x:c r="B30" s="6" t="str">
        <x:v>Physical crossbow wind/reload gesture</x:v>
      </x:c>
      <x:c r="C30" s="6" t="str">
        <x:v>Implemented</x:v>
      </x:c>
      <x:c r="D30" s="6" t="str">
        <x:v>P1</x:v>
      </x:c>
      <x:c r="E30" s="6" t="str">
        <x:v>M0</x:v>
      </x:c>
      <x:c r="F30" s="6" t="str">
        <x:v>Archery</x:v>
      </x:c>
      <x:c r="G30" s="6" t="str">
        <x:v>Gameplay / assignment pending</x:v>
      </x:c>
      <x:c r="H30" s="6" t="str">
        <x:v>V02, V12</x:v>
      </x:c>
      <x:c r="I30" s="6" t="str">
        <x:v>Preserve the established game while closing the stated acceptance gate.</x:v>
      </x:c>
      <x:c r="J30" s="6" t="str">
        <x:v>Tracked near-handle grab, backward pull and release latch the crossbow. Short-draw and stick-click alternatives remain; tracking loss cancels.</x:v>
      </x:c>
      <x:c r="K30" s="6" t="str">
        <x:v>Model and emulated-controller tests; ergonomic gate V08 remains open.</x:v>
      </x:c>
      <x:c r="L30" s="6" t="str">
        <x:v>ritual-model.js
resonance-ritual.js
tests/resonant-browser.py</x:v>
      </x:c>
      <x:c r="M30" s="6" t="str">
        <x:v>0.8.0</x:v>
      </x:c>
      <x:c r="N30" s="6" t="str">
        <x:v>https://github.com/v5ma/v5ma.github.io/blob/master/vesperfall/ritual-model.js</x:v>
      </x:c>
    </x:row>
    <x:row r="31" ht="124" customHeight="1">
      <x:c r="A31" s="6" t="str">
        <x:v>V26</x:v>
      </x:c>
      <x:c r="B31" s="6" t="str">
        <x:v>Hollow Hunt: committed cantor volleys, hound charges and sentinel guard</x:v>
      </x:c>
      <x:c r="C31" s="6" t="str">
        <x:v>Implemented</x:v>
      </x:c>
      <x:c r="D31" s="6" t="str">
        <x:v>P2</x:v>
      </x:c>
      <x:c r="E31" s="6" t="str">
        <x:v>M0</x:v>
      </x:c>
      <x:c r="F31" s="6" t="str">
        <x:v>Combat</x:v>
      </x:c>
      <x:c r="G31" s="6" t="str">
        <x:v>Gameplay / assignment pending</x:v>
      </x:c>
      <x:c r="H31" s="6" t="str">
        <x:v>None</x:v>
      </x:c>
      <x:c r="I31" s="6" t="str">
        <x:v>Preserve the established game while closing the stated acceptance gate.</x:v>
      </x:c>
      <x:c r="J31" s="6" t="str">
        <x:v>Shared physical projectiles/collision, visible warning, dodge/block/counterplay, no homing charge.</x:v>
      </x:c>
      <x:c r="K31" s="6" t="str">
        <x:v>Source implemented; software regression coverage. Physical acceptance is separate.</x:v>
      </x:c>
      <x:c r="L31" s="6" t="str"/>
      <x:c r="M31" s="6" t="str">
        <x:v>Baseline through 0.6.0</x:v>
      </x:c>
      <x:c r="N31" s="6" t="str">
        <x:v>https://github.com/v5ma/v5ma.github.io/blob/master/vesperfall/roadmap.json</x:v>
      </x:c>
    </x:row>
    <x:row r="32" ht="124" customHeight="1">
      <x:c r="A32" s="6" t="str">
        <x:v>V27</x:v>
      </x:c>
      <x:c r="B32" s="6" t="str">
        <x:v>Two optional double-stair loft loops and elevation-gated caches</x:v>
      </x:c>
      <x:c r="C32" s="6" t="str">
        <x:v>Implemented</x:v>
      </x:c>
      <x:c r="D32" s="6" t="str">
        <x:v>P2</x:v>
      </x:c>
      <x:c r="E32" s="6" t="str">
        <x:v>M0</x:v>
      </x:c>
      <x:c r="F32" s="6" t="str">
        <x:v>Traversal</x:v>
      </x:c>
      <x:c r="G32" s="6" t="str">
        <x:v>Level design / assignment pending</x:v>
      </x:c>
      <x:c r="H32" s="6" t="str">
        <x:v>None</x:v>
      </x:c>
      <x:c r="I32" s="6" t="str">
        <x:v>Preserve the established game while closing the stated acceptance gate.</x:v>
      </x:c>
      <x:c r="J32" s="6" t="str">
        <x:v>Preserve ground graph links; walk both stairways and collect upper supply only at its elevation.</x:v>
      </x:c>
      <x:c r="K32" s="6" t="str">
        <x:v>Source implemented; software regression coverage. Physical acceptance is separate.</x:v>
      </x:c>
      <x:c r="L32" s="6" t="str"/>
      <x:c r="M32" s="6" t="str">
        <x:v>Baseline through 0.6.0</x:v>
      </x:c>
      <x:c r="N32" s="6" t="str">
        <x:v>https://github.com/v5ma/v5ma.github.io/blob/master/vesperfall/roadmap.json</x:v>
      </x:c>
    </x:row>
    <x:row r="33" ht="124" customHeight="1">
      <x:c r="A33" s="6" t="str">
        <x:v>V28</x:v>
      </x:c>
      <x:c r="B33" s="6" t="str">
        <x:v>Three repeatable adversary trials and field guide</x:v>
      </x:c>
      <x:c r="C33" s="6" t="str">
        <x:v>Implemented</x:v>
      </x:c>
      <x:c r="D33" s="6" t="str">
        <x:v>P2</x:v>
      </x:c>
      <x:c r="E33" s="6" t="str">
        <x:v>M0</x:v>
      </x:c>
      <x:c r="F33" s="6" t="str">
        <x:v>Practice</x:v>
      </x:c>
      <x:c r="G33" s="6" t="str">
        <x:v>Gameplay / UX / assignment pending</x:v>
      </x:c>
      <x:c r="H33" s="6" t="str">
        <x:v>None</x:v>
      </x:c>
      <x:c r="I33" s="6" t="str">
        <x:v>Preserve the established game while closing the stated acceptance gate.</x:v>
      </x:c>
      <x:c r="J33" s="6" t="str">
        <x:v>Ordinary menus spawn real AI. Trial counters never change the Chronicle or prior purchases.</x:v>
      </x:c>
      <x:c r="K33" s="6" t="str">
        <x:v>Source implemented; software regression coverage. Physical acceptance is separate.</x:v>
      </x:c>
      <x:c r="L33" s="6" t="str"/>
      <x:c r="M33" s="6" t="str">
        <x:v>Baseline through 0.6.0</x:v>
      </x:c>
      <x:c r="N33" s="6" t="str">
        <x:v>https://github.com/v5ma/v5ma.github.io/blob/master/vesperfall/roadmap.json</x:v>
      </x:c>
    </x:row>
    <x:row r="34" ht="124" customHeight="1">
      <x:c r="A34" s="6" t="str">
        <x:v>V29</x:v>
      </x:c>
      <x:c r="B34" s="6" t="str">
        <x:v>Surface-triggered Cinder bursts and interrupting Frost</x:v>
      </x:c>
      <x:c r="C34" s="6" t="str">
        <x:v>Implemented</x:v>
      </x:c>
      <x:c r="D34" s="6" t="str">
        <x:v>P2</x:v>
      </x:c>
      <x:c r="E34" s="6" t="str">
        <x:v>M0</x:v>
      </x:c>
      <x:c r="F34" s="6" t="str">
        <x:v>Archery</x:v>
      </x:c>
      <x:c r="G34" s="6" t="str">
        <x:v>Gameplay / assignment pending</x:v>
      </x:c>
      <x:c r="H34" s="6" t="str">
        <x:v>None</x:v>
      </x:c>
      <x:c r="I34" s="6" t="str">
        <x:v>Preserve the established game while closing the stated acceptance gate.</x:v>
      </x:c>
      <x:c r="J34" s="6" t="str">
        <x:v>Cover occludes area damage; freeze interrupts charges and has a shorter sentinel duration.</x:v>
      </x:c>
      <x:c r="K34" s="6" t="str">
        <x:v>Source implemented; software regression coverage. Physical acceptance is separate.</x:v>
      </x:c>
      <x:c r="L34" s="6" t="str"/>
      <x:c r="M34" s="6" t="str">
        <x:v>Baseline through 0.6.0</x:v>
      </x:c>
      <x:c r="N34" s="6" t="str">
        <x:v>https://github.com/v5ma/v5ma.github.io/blob/master/vesperfall/roadmap.json</x:v>
      </x:c>
    </x:row>
    <x:row r="35" ht="124" customHeight="1">
      <x:c r="A35" s="6" t="str">
        <x:v>V30</x:v>
      </x:c>
      <x:c r="B35" s="6" t="str">
        <x:v>Physical interaction follow-through: winding complete; shard throwing open</x:v>
      </x:c>
      <x:c r="C35" s="6" t="str">
        <x:v>Partial</x:v>
      </x:c>
      <x:c r="D35" s="6" t="str">
        <x:v>P1</x:v>
      </x:c>
      <x:c r="E35" s="6" t="str">
        <x:v>M2</x:v>
      </x:c>
      <x:c r="F35" s="6" t="str">
        <x:v>Future</x:v>
      </x:c>
      <x:c r="G35" s="6" t="str">
        <x:v>Gameplay / assignment pending</x:v>
      </x:c>
      <x:c r="H35" s="6" t="str">
        <x:v>V25</x:v>
      </x:c>
      <x:c r="I35" s="6" t="str">
        <x:v>Preserve the established game while closing the stated acceptance gate.</x:v>
      </x:c>
      <x:c r="J35" s="6" t="str">
        <x:v>V25 covers shipped crossbow winding. V24 still owns a physical thrown-shard implementation and real-hardware evaluation. Do not count this umbrella twice.</x:v>
      </x:c>
      <x:c r="K35" s="6" t="str">
        <x:v>Split scope; thrown shard not implemented.</x:v>
      </x:c>
      <x:c r="L35" s="6" t="str">
        <x:v>RESONANT-HUNT.md</x:v>
      </x:c>
      <x:c r="M35" s="6" t="str"/>
      <x:c r="N35" s="6" t="str">
        <x:v>https://github.com/v5ma/v5ma.github.io/blob/master/vesperfall/RESONANT-HUNT.md</x:v>
      </x:c>
    </x:row>
    <x:row r="36" ht="124" customHeight="1">
      <x:c r="A36" s="6" t="str">
        <x:v>V31</x:v>
      </x:c>
      <x:c r="B36" s="6" t="str">
        <x:v>CC0 castle masonry, cobbles and finished marble sculpture</x:v>
      </x:c>
      <x:c r="C36" s="6" t="str">
        <x:v>Implemented</x:v>
      </x:c>
      <x:c r="D36" s="6" t="str">
        <x:v>P2</x:v>
      </x:c>
      <x:c r="E36" s="6" t="str">
        <x:v>M0</x:v>
      </x:c>
      <x:c r="F36" s="6" t="str">
        <x:v>Art</x:v>
      </x:c>
      <x:c r="G36" s="6" t="str">
        <x:v>Technical art / assignment pending</x:v>
      </x:c>
      <x:c r="H36" s="6" t="str">
        <x:v>None</x:v>
      </x:c>
      <x:c r="I36" s="6" t="str">
        <x:v>Preserve the established game while closing the stated acceptance gate.</x:v>
      </x:c>
      <x:c r="J36" s="6" t="str">
        <x:v>Local 1K material maps and embedded 512px GLB textures; author/source/license/transform/hash register; no runtime CDN.</x:v>
      </x:c>
      <x:c r="K36" s="6" t="str">
        <x:v>Source implemented; software regression coverage. Physical acceptance is separate.</x:v>
      </x:c>
      <x:c r="L36" s="6" t="str"/>
      <x:c r="M36" s="6" t="str">
        <x:v>Baseline through 0.6.0</x:v>
      </x:c>
      <x:c r="N36" s="6" t="str">
        <x:v>https://github.com/v5ma/v5ma.github.io/blob/master/vesperfall/roadmap.json</x:v>
      </x:c>
    </x:row>
    <x:row r="37" ht="124" customHeight="1">
      <x:c r="A37" s="6" t="str">
        <x:v>V32</x:v>
      </x:c>
      <x:c r="B37" s="6" t="str">
        <x:v>Inter-room upper loop and 6.4m belfry reliquaries</x:v>
      </x:c>
      <x:c r="C37" s="6" t="str">
        <x:v>Implemented</x:v>
      </x:c>
      <x:c r="D37" s="6" t="str">
        <x:v>P2</x:v>
      </x:c>
      <x:c r="E37" s="6" t="str">
        <x:v>M0</x:v>
      </x:c>
      <x:c r="F37" s="6" t="str">
        <x:v>Traversal</x:v>
      </x:c>
      <x:c r="G37" s="6" t="str">
        <x:v>Level design / assignment pending</x:v>
      </x:c>
      <x:c r="H37" s="6" t="str">
        <x:v>None</x:v>
      </x:c>
      <x:c r="I37" s="6" t="str">
        <x:v>Preserve the established game while closing the stated acceptance gate.</x:v>
      </x:c>
      <x:c r="J37" s="6" t="str">
        <x:v>One-time, elevation-gated score/heal rewards, reversible traversal and ground alternatives. Trial play cannot farm permanent rewards.</x:v>
      </x:c>
      <x:c r="K37" s="6" t="str">
        <x:v>Source implemented; software regression coverage. Physical acceptance is separate.</x:v>
      </x:c>
      <x:c r="L37" s="6" t="str"/>
      <x:c r="M37" s="6" t="str">
        <x:v>Baseline through 0.6.0</x:v>
      </x:c>
      <x:c r="N37" s="6" t="str">
        <x:v>https://github.com/v5ma/v5ma.github.io/blob/master/vesperfall/roadmap.json</x:v>
      </x:c>
    </x:row>
    <x:row r="38" ht="124" customHeight="1">
      <x:c r="A38" s="6" t="str">
        <x:v>V33</x:v>
      </x:c>
      <x:c r="B38" s="6" t="str">
        <x:v>Continuous arch profiles, roof silhouettes and spatial material batches</x:v>
      </x:c>
      <x:c r="C38" s="6" t="str">
        <x:v>Implemented</x:v>
      </x:c>
      <x:c r="D38" s="6" t="str">
        <x:v>P2</x:v>
      </x:c>
      <x:c r="E38" s="6" t="str">
        <x:v>M0</x:v>
      </x:c>
      <x:c r="F38" s="6" t="str">
        <x:v>Art</x:v>
      </x:c>
      <x:c r="G38" s="6" t="str">
        <x:v>Technical art / assignment pending</x:v>
      </x:c>
      <x:c r="H38" s="6" t="str">
        <x:v>None</x:v>
      </x:c>
      <x:c r="I38" s="6" t="str">
        <x:v>Preserve the established game while closing the stated acceptance gate.</x:v>
      </x:c>
      <x:c r="J38" s="6" t="str">
        <x:v>Matching actual before/after frames; static shadows refreshed on rebuild rather than each frame. Physical Quest performance remains unmeasured.</x:v>
      </x:c>
      <x:c r="K38" s="6" t="str">
        <x:v>Source implemented; software regression coverage. Physical acceptance is separate.</x:v>
      </x:c>
      <x:c r="L38" s="6" t="str"/>
      <x:c r="M38" s="6" t="str">
        <x:v>Baseline through 0.6.0</x:v>
      </x:c>
      <x:c r="N38" s="6" t="str">
        <x:v>https://github.com/v5ma/v5ma.github.io/blob/master/vesperfall/roadmap.json</x:v>
      </x:c>
    </x:row>
    <x:row r="39" ht="124" customHeight="1">
      <x:c r="A39" s="6" t="str">
        <x:v>V34</x:v>
      </x:c>
      <x:c r="B39" s="6" t="str">
        <x:v>Scaled floorplan atlas with upper route and reward cues</x:v>
      </x:c>
      <x:c r="C39" s="6" t="str">
        <x:v>Implemented</x:v>
      </x:c>
      <x:c r="D39" s="6" t="str">
        <x:v>P2</x:v>
      </x:c>
      <x:c r="E39" s="6" t="str">
        <x:v>M0</x:v>
      </x:c>
      <x:c r="F39" s="6" t="str">
        <x:v>Navigation</x:v>
      </x:c>
      <x:c r="G39" s="6" t="str">
        <x:v>UX / level design / assignment pending</x:v>
      </x:c>
      <x:c r="H39" s="6" t="str">
        <x:v>None</x:v>
      </x:c>
      <x:c r="I39" s="6" t="str">
        <x:v>Preserve the established game while closing the stated acceptance gate.</x:v>
      </x:c>
      <x:c r="J39" s="6" t="str">
        <x:v>Use actual room outlines, gold skywalk and reliquary markers. No player steering or auto-completion.</x:v>
      </x:c>
      <x:c r="K39" s="6" t="str">
        <x:v>Source implemented; software regression coverage. Physical acceptance is separate.</x:v>
      </x:c>
      <x:c r="L39" s="6" t="str"/>
      <x:c r="M39" s="6" t="str">
        <x:v>Baseline through 0.6.0</x:v>
      </x:c>
      <x:c r="N39" s="6" t="str">
        <x:v>https://github.com/v5ma/v5ma.github.io/blob/master/vesperfall/roadmap.json</x:v>
      </x:c>
    </x:row>
    <x:row r="40" ht="120" customHeight="1">
      <x:c r="A40" s="6" t="str">
        <x:v>V35</x:v>
      </x:c>
      <x:c r="B40" s="6" t="str">
        <x:v>Authored crypt, roof and water destinations with expanded route grammar</x:v>
      </x:c>
      <x:c r="C40" s="6" t="str">
        <x:v>Partial</x:v>
      </x:c>
      <x:c r="D40" s="6" t="str">
        <x:v>P1</x:v>
      </x:c>
      <x:c r="E40" s="6" t="str">
        <x:v>M3</x:v>
      </x:c>
      <x:c r="F40" s="6" t="str">
        <x:v>World</x:v>
      </x:c>
      <x:c r="G40" s="6" t="str">
        <x:v>Level design / assignment pending</x:v>
      </x:c>
      <x:c r="H40" s="6" t="str">
        <x:v>None</x:v>
      </x:c>
      <x:c r="I40" s="6" t="str">
        <x:v>More areas should create memorable choices and reasons to explore, not repeat one room or flood every courtyard.</x:v>
      </x:c>
      <x:c r="J40" s="6" t="str">
        <x:v>Keep the existing 25-district game and reversible upper/lower routes. Add distinctive, collision-tested destinations, escape paths and discoveries. Tidelight water remains decorative until a separately designed, save-compatible traversal feature is approved.</x:v>
      </x:c>
      <x:c r="K40" s="6" t="str">
        <x:v>Partial. Tidelight 0.12.0 water exists in current source. The earlier seven-surface/four-named-district draft, recessed fonts, refracting tile basins and architecture reflections are not established by the shipped implementation.</x:v>
      </x:c>
      <x:c r="L40" s="6" t="str">
        <x:v>dominions-world.js
HOLLOW-DOMINIONS.md
TIDELIGHT.md
tidelight.js
CONTINUATION-AUDIT.md</x:v>
      </x:c>
      <x:c r="M40" s="6" t="str">
        <x:v>0.12.0 Tidelight presentation baseline; authored expansion open</x:v>
      </x:c>
      <x:c r="N40" s="6" t="str">
        <x:v>https://github.com/v5ma/v5ma.github.io/blob/master/vesperfall/dominions-world.js</x:v>
      </x:c>
    </x:row>
    <x:row r="41" ht="124" customHeight="1">
      <x:c r="A41" s="6" t="str">
        <x:v>V36</x:v>
      </x:c>
      <x:c r="B41" s="6" t="str">
        <x:v>Hardware and human review of the material-rich vertical world</x:v>
      </x:c>
      <x:c r="C41" s="6" t="str">
        <x:v>Hardware QA</x:v>
      </x:c>
      <x:c r="D41" s="6" t="str">
        <x:v>P0</x:v>
      </x:c>
      <x:c r="E41" s="6" t="str">
        <x:v>M5</x:v>
      </x:c>
      <x:c r="F41" s="6" t="str">
        <x:v>Testing</x:v>
      </x:c>
      <x:c r="G41" s="6" t="str">
        <x:v>QA / play research / assignment pending</x:v>
      </x:c>
      <x:c r="H41" s="6" t="str">
        <x:v>None</x:v>
      </x:c>
      <x:c r="I41" s="6" t="str">
        <x:v>A software fixture cannot tell us how a person feels or how a real device sustains the experience.</x:v>
      </x:c>
      <x:c r="J41" s="6" t="str">
        <x:v>Quest 3 controller/floor calibration, sustained frame times, memory, comfort and whether players find the climbs worthwhile. API emulation cannot close this gate.</x:v>
      </x:c>
      <x:c r="K41" s="6" t="str">
        <x:v>No physical device receipt yet.</x:v>
      </x:c>
      <x:c r="L41" s="6" t="str"/>
      <x:c r="M41" s="6" t="str"/>
      <x:c r="N41" s="6" t="str">
        <x:v>https://github.com/v5ma/v5ma.github.io/blob/master/vesperfall/roadmap.json</x:v>
      </x:c>
    </x:row>
    <x:row r="42" ht="124" customHeight="1">
      <x:c r="A42" s="6" t="str">
        <x:v>V37</x:v>
      </x:c>
      <x:c r="B42" s="6" t="str">
        <x:v>Jewelglass and Rosefire: reflective materials, stained light and bounded shaders</x:v>
      </x:c>
      <x:c r="C42" s="6" t="str">
        <x:v>Implemented</x:v>
      </x:c>
      <x:c r="D42" s="6" t="str">
        <x:v>P2</x:v>
      </x:c>
      <x:c r="E42" s="6" t="str">
        <x:v>M0</x:v>
      </x:c>
      <x:c r="F42" s="6" t="str">
        <x:v>Presentation</x:v>
      </x:c>
      <x:c r="G42" s="6" t="str">
        <x:v>Art / audio</x:v>
      </x:c>
      <x:c r="H42" s="6" t="str">
        <x:v>None</x:v>
      </x:c>
      <x:c r="I42" s="6" t="str">
        <x:v>Use coherent gothic light, wet stone and readable magical equipment to deepen the atmosphere without hiding combat information.</x:v>
      </x:c>
      <x:c r="J42" s="6" t="str">
        <x:v>Publish reversible original material and shader profiles with normal/AO maps preserved, visible native-frame comparisons, controller-accessible settings, reduced-motion and passthrough-safe policies; no new gameplay or save-state writes.</x:v>
      </x:c>
      <x:c r="K42" s="6" t="str">
        <x:v>Original shader extension and automated/native rendering checks are separate from physical Quest frame-time, comfort and human art acceptance.</x:v>
      </x:c>
      <x:c r="L42" s="6" t="str">
        <x:v>JEWELGLASS.md
ROSEFIRE.md
rosefire-shaders.js
rosefire.js
tests/rosefire.test.cjs
tests/rosefire-browser.py</x:v>
      </x:c>
      <x:c r="M42" s="6" t="str">
        <x:v>0.11.0 Rosefire</x:v>
      </x:c>
      <x:c r="N42" s="6" t="str">
        <x:v>https://github.com/v5ma/v5ma.github.io/blob/master/vesperfall/roadmap.json</x:v>
      </x:c>
    </x:row>
    <x:row r="43" ht="106" customHeight="1">
      <x:c r="A43" s="6" t="str">
        <x:v>V38</x:v>
      </x:c>
      <x:c r="B43" s="6" t="str">
        <x:v>Measure physical Quest 3 stereo frame times for Jewelglass, Rosefire and Tidelight</x:v>
      </x:c>
      <x:c r="C43" s="6" t="str">
        <x:v>Hardware QA</x:v>
      </x:c>
      <x:c r="D43" s="6" t="str">
        <x:v>P0</x:v>
      </x:c>
      <x:c r="E43" s="6" t="str">
        <x:v>M4</x:v>
      </x:c>
      <x:c r="F43" s="6" t="str">
        <x:v>Hardware</x:v>
      </x:c>
      <x:c r="G43" s="6" t="str">
        <x:v>Device QA / assignment pending</x:v>
      </x:c>
      <x:c r="H43" s="6" t="str">
        <x:v>None</x:v>
      </x:c>
      <x:c r="I43" s="6" t="str">
        <x:v>A software fixture cannot tell us how a person feels or how a real device sustains the experience.</x:v>
      </x:c>
      <x:c r="J43" s="6" t="str">
        <x:v>Measure both eyes, bow/ward visibility, water/caustic legibility and sustained frame times on Quest 3 in both handedness modes. Check reduced effects and AR exclusions. Do not infer hardware FPS, comfort or alignment from emulation.</x:v>
      </x:c>
      <x:c r="K43" s="6" t="str">
        <x:v>No physical device receipt yet.</x:v>
      </x:c>
      <x:c r="L43" s="6" t="str">
        <x:v>ROSEFIRE.md
TIDELIGHT.md
CONTINUATION-AUDIT.md</x:v>
      </x:c>
      <x:c r="M43" s="6" t="str"/>
      <x:c r="N43" s="6" t="str">
        <x:v>https://github.com/v5ma/v5ma.github.io/blob/master/vesperfall/ROSEFIRE.md</x:v>
      </x:c>
    </x:row>
    <x:row r="44" ht="124" customHeight="1">
      <x:c r="A44" s="6" t="str">
        <x:v>V39</x:v>
      </x:c>
      <x:c r="B44" s="6" t="str">
        <x:v>Hollow Dominions: outer districts, high walks and optional crowns</x:v>
      </x:c>
      <x:c r="C44" s="6" t="str">
        <x:v>Implemented</x:v>
      </x:c>
      <x:c r="D44" s="6" t="str">
        <x:v>P2</x:v>
      </x:c>
      <x:c r="E44" s="6" t="str">
        <x:v>M0</x:v>
      </x:c>
      <x:c r="F44" s="6" t="str">
        <x:v>World</x:v>
      </x:c>
      <x:c r="G44" s="6" t="str">
        <x:v>Level design / assignment pending</x:v>
      </x:c>
      <x:c r="H44" s="6" t="str">
        <x:v>V05</x:v>
      </x:c>
      <x:c r="I44" s="6" t="str">
        <x:v>Offer alternate approaches and worthwhile vertical exploration.</x:v>
      </x:c>
      <x:c r="J44" s="6" t="str">
        <x:v>Retain 25 districts, 16 outer galleries, additional reversible upper connections and optional exploration rewards. Core five wardens still unlock the exit.</x:v>
      </x:c>
      <x:c r="K44" s="6" t="str">
        <x:v>Software release evidence; hardware and human gates remain separate.</x:v>
      </x:c>
      <x:c r="L44" s="6" t="str">
        <x:v>dominions-world.js
tests/dominions.test.cjs</x:v>
      </x:c>
      <x:c r="M44" s="6" t="str">
        <x:v>0.7.0</x:v>
      </x:c>
      <x:c r="N44" s="6" t="str">
        <x:v>https://github.com/v5ma/v5ma.github.io/blob/master/vesperfall/dominions-world.js</x:v>
      </x:c>
    </x:row>
    <x:row r="45" ht="124" customHeight="1">
      <x:c r="A45" s="6" t="str">
        <x:v>V40</x:v>
      </x:c>
      <x:c r="B45" s="6" t="str">
        <x:v>Twelve additional enemy orders and repeatable trials</x:v>
      </x:c>
      <x:c r="C45" s="6" t="str">
        <x:v>Implemented</x:v>
      </x:c>
      <x:c r="D45" s="6" t="str">
        <x:v>P2</x:v>
      </x:c>
      <x:c r="E45" s="6" t="str">
        <x:v>M0</x:v>
      </x:c>
      <x:c r="F45" s="6" t="str">
        <x:v>Combat</x:v>
      </x:c>
      <x:c r="G45" s="6" t="str">
        <x:v>Gameplay / assignment pending</x:v>
      </x:c>
      <x:c r="H45" s="6" t="str">
        <x:v>V26</x:v>
      </x:c>
      <x:c r="I45" s="6" t="str">
        <x:v>Variety must change decisions rather than only appearance.</x:v>
      </x:c>
      <x:c r="J45" s="6" t="str">
        <x:v>Fifteen total archetypes with distinct windups, committed attacks, damage and counterplay; each added order can be practiced.</x:v>
      </x:c>
      <x:c r="K45" s="6" t="str">
        <x:v>Software release evidence; hardware and human gates remain separate.</x:v>
      </x:c>
      <x:c r="L45" s="6" t="str">
        <x:v>bestiary.js
dominion-art.js
tests/dominions.test.cjs</x:v>
      </x:c>
      <x:c r="M45" s="6" t="str">
        <x:v>0.7.0</x:v>
      </x:c>
      <x:c r="N45" s="6" t="str">
        <x:v>https://github.com/v5ma/v5ma.github.io/blob/master/vesperfall/bestiary.js</x:v>
      </x:c>
    </x:row>
    <x:row r="46" ht="195" customHeight="1">
      <x:c r="A46" s="6" t="str">
        <x:v>V41</x:v>
      </x:c>
      <x:c r="B46" s="6" t="str">
        <x:v>Xbox focus navigation and paginated Quest spatial menus</x:v>
      </x:c>
      <x:c r="C46" s="6" t="str">
        <x:v>Partial</x:v>
      </x:c>
      <x:c r="D46" s="6" t="str">
        <x:v>P0</x:v>
      </x:c>
      <x:c r="E46" s="6" t="str">
        <x:v>M0</x:v>
      </x:c>
      <x:c r="F46" s="6" t="str">
        <x:v>Comfort</x:v>
      </x:c>
      <x:c r="G46" s="6" t="str">
        <x:v>UX / accessibility / assignment pending</x:v>
      </x:c>
      <x:c r="H46" s="6" t="str">
        <x:v>V07</x:v>
      </x:c>
      <x:c r="I46" s="6" t="str">
        <x:v>Avoid forced mouse use or headset removal.</x:v>
      </x:c>
      <x:c r="J46" s="6" t="str">
        <x:v>Every gameplay and game-owned UI path, including water settings, confirmations, recovery, seed entry, audio and accessibility settings, is reachable and dismissible with Xbox and Quest controls without a mouse. Test both handedness modes, neutral-input transitions and return focus. Browser/system permission prompts remain platform-owned.</x:v>
      </x:c>
      <x:c r="K46" s="6" t="str">
        <x:v>Surestep implements the missing paginated Quest water settings and adds optional tracked-hand ray/pinch menu input. Xbox down selects Blink and left cycles stocked, unlocked damage arrows outside menus/quiver. Tracking loss, held-pinch acquisition and controller handover are explicit software gates in tests/surestep-browser.py. Full accessibility/remapping and physical-device approval remain open. Returning Bell interactions retain direct Xbox controls; the AR Architect's Table shares controller-ray/stick and joint-pinch menus. Game-owned confirmations still use the existing save guard. Goldwind adds an opt-in physical bow preset; exact model, native input and publication outcomes belong in its versioned evidence receipt. Classic/crossbow and Xbox remain. Real-device ergonomics and human acceptance are not closed.</x:v>
      </x:c>
      <x:c r="L46" s="6" t="str">
        <x:v>dominion-controls.js
quest-hands.js
tests/surestep-browser.py
tests/dominions-browser.py
SURESTEP.md
returning-bell.js
tests/returning-bell-browser.py
GOLDWIND.md
goldwind-model.js
goldwind-xr.js
tests/goldwind.test.cjs
tests/goldwind-browser.py</x:v>
      </x:c>
      <x:c r="M46" s="6" t="str">
        <x:v>0.16.0 Goldwind</x:v>
      </x:c>
      <x:c r="N46" s="6" t="str">
        <x:v>https://github.com/v5ma/v5ma.github.io/blob/master/vesperfall/dominion-controls.js</x:v>
      </x:c>
    </x:row>
    <x:row r="47" ht="124" customHeight="1">
      <x:c r="A47" s="6" t="str">
        <x:v>V42</x:v>
      </x:c>
      <x:c r="B47" s="6" t="str">
        <x:v>Stationary passthrough AR Sanctuary and expedition restoration</x:v>
      </x:c>
      <x:c r="C47" s="6" t="str">
        <x:v>Implemented</x:v>
      </x:c>
      <x:c r="D47" s="6" t="str">
        <x:v>P1</x:v>
      </x:c>
      <x:c r="E47" s="6" t="str">
        <x:v>M0</x:v>
      </x:c>
      <x:c r="F47" s="6" t="str">
        <x:v>Comfort</x:v>
      </x:c>
      <x:c r="G47" s="6" t="str">
        <x:v>UX / accessibility / assignment pending</x:v>
      </x:c>
      <x:c r="H47" s="6" t="str">
        <x:v>V41</x:v>
      </x:c>
      <x:c r="I47" s="6" t="str">
        <x:v>Make AR an explicit supported alternative without silently pretending it is the full VR world.</x:v>
      </x:c>
      <x:c r="J47" s="6" t="str">
        <x:v>An immersive-ar session creates an unscored stationary arena, disables artificial travel and restores the paused VR/browser expedition on exit. No furniture scanning or real-world occlusion.</x:v>
      </x:c>
      <x:c r="K47" s="6" t="str">
        <x:v>Software release evidence; hardware and human gates remain separate.</x:v>
      </x:c>
      <x:c r="L47" s="6" t="str">
        <x:v>dominion-ar.js
tests/dominions-browser.py</x:v>
      </x:c>
      <x:c r="M47" s="6" t="str">
        <x:v>0.7.0</x:v>
      </x:c>
      <x:c r="N47" s="6" t="str">
        <x:v>https://github.com/v5ma/v5ma.github.io/blob/master/vesperfall/dominion-ar.js</x:v>
      </x:c>
    </x:row>
    <x:row r="48" ht="124" customHeight="1">
      <x:c r="A48" s="6" t="str">
        <x:v>V43</x:v>
      </x:c>
      <x:c r="B48" s="6" t="str">
        <x:v>Resonant Hunt: adaptive score and spatial combat vocabulary</x:v>
      </x:c>
      <x:c r="C48" s="6" t="str">
        <x:v>Implemented</x:v>
      </x:c>
      <x:c r="D48" s="6" t="str">
        <x:v>P1</x:v>
      </x:c>
      <x:c r="E48" s="6" t="str">
        <x:v>M0</x:v>
      </x:c>
      <x:c r="F48" s="6" t="str">
        <x:v>Presentation</x:v>
      </x:c>
      <x:c r="G48" s="6" t="str">
        <x:v>Art / audio / assignment pending</x:v>
      </x:c>
      <x:c r="H48" s="6" t="str">
        <x:v>V22</x:v>
      </x:c>
      <x:c r="I48" s="6" t="str">
        <x:v>Atmosphere and directional warnings should support precision instead of masking it.</x:v>
      </x:c>
      <x:c r="J48" s="6" t="str">
        <x:v>Five original synthesized arrangements; positioned and distance/obstruction-aware effects; warning-driven music ducking; bounded voices and no hidden-tab backlog.</x:v>
      </x:c>
      <x:c r="K48" s="6" t="str">
        <x:v>Software release evidence; hardware and human gates remain separate.</x:v>
      </x:c>
      <x:c r="L48" s="6" t="str">
        <x:v>resonance-score.js
resonance-audio.js
tests/resonant-browser.py</x:v>
      </x:c>
      <x:c r="M48" s="6" t="str">
        <x:v>0.8.0</x:v>
      </x:c>
      <x:c r="N48" s="6" t="str">
        <x:v>https://github.com/v5ma/v5ma.github.io/blob/master/vesperfall/resonance-score.js</x:v>
      </x:c>
    </x:row>
    <x:row r="49" ht="124" customHeight="1">
      <x:c r="A49" s="6" t="str">
        <x:v>V44</x:v>
      </x:c>
      <x:c r="B49" s="6" t="str">
        <x:v>Independent sound mix, quiet option and captions</x:v>
      </x:c>
      <x:c r="C49" s="6" t="str">
        <x:v>Implemented</x:v>
      </x:c>
      <x:c r="D49" s="6" t="str">
        <x:v>P0</x:v>
      </x:c>
      <x:c r="E49" s="6" t="str">
        <x:v>M0</x:v>
      </x:c>
      <x:c r="F49" s="6" t="str">
        <x:v>Comfort</x:v>
      </x:c>
      <x:c r="G49" s="6" t="str">
        <x:v>UX / accessibility / assignment pending</x:v>
      </x:c>
      <x:c r="H49" s="6" t="str">
        <x:v>V43, V41</x:v>
      </x:c>
      <x:c r="I49" s="6" t="str">
        <x:v>Let players control sensory intensity rather than forcing an overwhelming mix.</x:v>
      </x:c>
      <x:c r="J49" s="6" t="str">
        <x:v>Separate music/effects/ambience/master controls are available on Xbox and Quest; explicit mute persists. Captions remain available.</x:v>
      </x:c>
      <x:c r="K49" s="6" t="str">
        <x:v>Software release evidence; hardware and human gates remain separate.</x:v>
      </x:c>
      <x:c r="L49" s="6" t="str">
        <x:v>resonance-audio.js
tests/resonant-browser.py</x:v>
      </x:c>
      <x:c r="M49" s="6" t="str">
        <x:v>0.8.0</x:v>
      </x:c>
      <x:c r="N49" s="6" t="str">
        <x:v>https://github.com/v5ma/v5ma.github.io/blob/master/vesperfall/resonance-audio.js</x:v>
      </x:c>
    </x:row>
    <x:row r="50" ht="195" customHeight="1">
      <x:c r="A50" s="6" t="str">
        <x:v>V45</x:v>
      </x:c>
      <x:c r="B50" s="6" t="str">
        <x:v>Palm familiar, physical pickups and tactical quiver</x:v>
      </x:c>
      <x:c r="C50" s="6" t="str">
        <x:v>Implemented</x:v>
      </x:c>
      <x:c r="D50" s="6" t="str">
        <x:v>P1</x:v>
      </x:c>
      <x:c r="E50" s="6" t="str">
        <x:v>M0</x:v>
      </x:c>
      <x:c r="F50" s="6" t="str">
        <x:v>Archery</x:v>
      </x:c>
      <x:c r="G50" s="6" t="str">
        <x:v>Gameplay / assignment pending</x:v>
      </x:c>
      <x:c r="H50" s="6" t="str">
        <x:v>V02, V41</x:v>
      </x:c>
      <x:c r="I50" s="6" t="str">
        <x:v>Move information and decisions into the physical archery loop.</x:v>
      </x:c>
      <x:c r="J50" s="6" t="str">
        <x:v>Palm-up status, near-hand trigger pulls, six-arrow selection and a three-second slow-time reserve work without slowing headset tracking. Classic retains six-arrow radial selection. Goldwind reveals five damage-arrow models near the bow; a fresh other-hand trigger at a stocked arrow selects it. Travel is a separate gesture.</x:v>
      </x:c>
      <x:c r="K50" s="6" t="str">
        <x:v>Software release evidence; hardware and human gates remain separate. Goldwind adds an opt-in physical bow preset; exact model, native input and publication outcomes belong in its versioned evidence receipt. Classic/crossbow and Xbox remain. Real-device ergonomics and human acceptance are not closed.</x:v>
      </x:c>
      <x:c r="L50" s="6" t="str">
        <x:v>ritual-model.js
resonance-ritual.js
tests/resonant-browser.py
GOLDWIND.md
goldwind-model.js
goldwind-xr.js
tests/goldwind.test.cjs
tests/goldwind-browser.py</x:v>
      </x:c>
      <x:c r="M50" s="6" t="str">
        <x:v>0.16.0 Goldwind</x:v>
      </x:c>
      <x:c r="N50" s="6" t="str">
        <x:v>https://github.com/v5ma/v5ma.github.io/blob/master/vesperfall/ritual-model.js</x:v>
      </x:c>
    </x:row>
    <x:row r="51" ht="124" customHeight="1">
      <x:c r="A51" s="6" t="str">
        <x:v>V46</x:v>
      </x:c>
      <x:c r="B51" s="6" t="str">
        <x:v>Finite Ricochet arrows and Mirror Thread unlock</x:v>
      </x:c>
      <x:c r="C51" s="6" t="str">
        <x:v>Implemented</x:v>
      </x:c>
      <x:c r="D51" s="6" t="str">
        <x:v>P1</x:v>
      </x:c>
      <x:c r="E51" s="6" t="str">
        <x:v>M0</x:v>
      </x:c>
      <x:c r="F51" s="6" t="str">
        <x:v>Progression</x:v>
      </x:c>
      <x:c r="G51" s="6" t="str">
        <x:v>Engineering / assignment pending</x:v>
      </x:c>
      <x:c r="H51" s="6" t="str">
        <x:v>V20, V21</x:v>
      </x:c>
      <x:c r="I51" s="6" t="str">
        <x:v>Add another tactical option with an earned long-term goal.</x:v>
      </x:c>
      <x:c r="J51" s="6" t="str">
        <x:v>At most two swept wall reflections; finite ammunition; 20 banked real hits unlock future loot. Practice never grants the unlock.</x:v>
      </x:c>
      <x:c r="K51" s="6" t="str">
        <x:v>Software release evidence; hardware and human gates remain separate.</x:v>
      </x:c>
      <x:c r="L51" s="6" t="str">
        <x:v>core.js
chronicle.js
tests/resonant.test.cjs</x:v>
      </x:c>
      <x:c r="M51" s="6" t="str">
        <x:v>0.8.0</x:v>
      </x:c>
      <x:c r="N51" s="6" t="str">
        <x:v>https://github.com/v5ma/v5ma.github.io/blob/master/vesperfall/core.js</x:v>
      </x:c>
    </x:row>
    <x:row r="52" ht="124" customHeight="1">
      <x:c r="A52" s="6" t="str">
        <x:v>V47</x:v>
      </x:c>
      <x:c r="B52" s="6" t="str">
        <x:v>Atomic profile/checkpoint receipt and damaged-save recovery</x:v>
      </x:c>
      <x:c r="C52" s="6" t="str">
        <x:v>Implemented</x:v>
      </x:c>
      <x:c r="D52" s="6" t="str">
        <x:v>P0</x:v>
      </x:c>
      <x:c r="E52" s="6" t="str">
        <x:v>M1</x:v>
      </x:c>
      <x:c r="F52" s="6" t="str">
        <x:v>Progression</x:v>
      </x:c>
      <x:c r="G52" s="6" t="str">
        <x:v>Engineering / assignment pending</x:v>
      </x:c>
      <x:c r="H52" s="6" t="str">
        <x:v>V15</x:v>
      </x:c>
      <x:c r="I52" s="6" t="str">
        <x:v>Avoid reward duplication, silent data loss and accidental overwrites.</x:v>
      </x:c>
      <x:c r="J52" s="6" t="str">
        <x:v>An integrity-checked envelope stores progression and banking receipts together. Quota failures are visible, stale tabs yield, and explicit discard retains permanent progress.</x:v>
      </x:c>
      <x:c r="K52" s="6" t="str">
        <x:v>Software release evidence; hardware and human gates remain separate.</x:v>
      </x:c>
      <x:c r="L52" s="6" t="str">
        <x:v>pilgrim-save.js
pilgrim-rest.js
tests/pilgrim.test.cjs
tests/pilgrim-browser.py</x:v>
      </x:c>
      <x:c r="M52" s="6" t="str">
        <x:v>0.9.0</x:v>
      </x:c>
      <x:c r="N52" s="6" t="str">
        <x:v>https://github.com/v5ma/v5ma.github.io/blob/master/vesperfall/pilgrim-save.js</x:v>
      </x:c>
    </x:row>
    <x:row r="53" ht="134" customHeight="1">
      <x:c r="A53" s="6" t="str">
        <x:v>V48</x:v>
      </x:c>
      <x:c r="B53" s="6" t="str">
        <x:v>Synchronized canonical production board, six-sheet workbook and cross-chat handoff</x:v>
      </x:c>
      <x:c r="C53" s="6" t="str">
        <x:v>Implemented</x:v>
      </x:c>
      <x:c r="D53" s="6" t="str">
        <x:v>P0</x:v>
      </x:c>
      <x:c r="E53" s="6" t="str">
        <x:v>M1</x:v>
      </x:c>
      <x:c r="F53" s="6" t="str">
        <x:v>Foundation</x:v>
      </x:c>
      <x:c r="G53" s="6" t="str">
        <x:v>Engineering / assignment pending</x:v>
      </x:c>
      <x:c r="H53" s="6" t="str">
        <x:v>V15</x:v>
      </x:c>
      <x:c r="I53" s="6" t="str">
        <x:v>Make each release close a measurable gap and keep the long-term path inspectable.</x:v>
      </x:c>
      <x:c r="J53" s="6" t="str">
        <x:v>Keep roadmap.json version aligned with release.json and core.js. Preserve V01-V76; export the six-sheet workbook with matching source digest and live summary formulas. Keep DEVELOPMENT-HANDOFF.md and CONTINUATION-AUDIT.md linked from the board and README. Verify committed files, not browser-local edits.</x:v>
      </x:c>
      <x:c r="K53" s="6" t="str">
        <x:v>September 13 repairs both the stale plan/workbook and the core diagnostic version label, without changing mechanics or save formats. Historical acceptance had 148 model passes and one plan-version failure; fresh checks are recorded separately. Physical/human gates remain open.</x:v>
      </x:c>
      <x:c r="L53" s="6" t="str">
        <x:v>roadmap.json
roadmap.html
AAA-PRODUCTION.xlsx
tests/production.test.cjs
tests/production-browser.py
DEVELOPMENT-HANDOFF.md
CONTINUATION-AUDIT.md</x:v>
      </x:c>
      <x:c r="M53" s="6" t="str">
        <x:v>0.9.0 foundation; 0.12.0 planning synchronization</x:v>
      </x:c>
      <x:c r="N53" s="6" t="str">
        <x:v>https://github.com/v5ma/v5ma.github.io/blob/master/vesperfall/roadmap.json</x:v>
      </x:c>
    </x:row>
    <x:row r="54" ht="195" customHeight="1">
      <x:c r="A54" s="6" t="str">
        <x:v>V49</x:v>
      </x:c>
      <x:c r="B54" s="6" t="str">
        <x:v>First ten minutes: playable physical onboarding</x:v>
      </x:c>
      <x:c r="C54" s="6" t="str">
        <x:v>Partial</x:v>
      </x:c>
      <x:c r="D54" s="6" t="str">
        <x:v>P0</x:v>
      </x:c>
      <x:c r="E54" s="6" t="str">
        <x:v>M1</x:v>
      </x:c>
      <x:c r="F54" s="6" t="str">
        <x:v>Practice</x:v>
      </x:c>
      <x:c r="G54" s="6" t="str">
        <x:v>Gameplay / UX / assignment pending</x:v>
      </x:c>
      <x:c r="H54" s="6" t="str">
        <x:v>V25, V41, V45</x:v>
      </x:c>
      <x:c r="I54" s="6" t="str">
        <x:v>A feature-rich control scheme is not yet an intuitive first session.</x:v>
      </x:c>
      <x:c r="J54" s="6" t="str">
        <x:v>A new player can learn nock/draw, cancel, reload, shield, Blink, shard step, pickups and quiver in either handedness, then enter a short scored encounter. Record completion, confusion and fatigue.</x:v>
      </x:c>
      <x:c r="K54" s="6" t="str">
        <x:v>Ten playable lessons now verify actual outcomes, with device-specific hints and a spatial Quest coach. Skips are recorded separately. Software-only: first-user confusion, reversed-hand ergonomics and fatigue remain to be measured. Returning Bell replaces the default fresh opening; all guided First Bell lessons remain explicitly available. Physical onboarding and newcomer study remain open. Goldwind adds an opt-in physical bow preset; exact model, native input and publication outcomes belong in its versioned evidence receipt. Classic/crossbow and Xbox remain. Real-device ergonomics and human acceptance are not closed.</x:v>
      </x:c>
      <x:c r="L54" s="6" t="str">
        <x:v>first-bell.js
tests/first-bell-browser.py
returning-bell.js
GOLDWIND.md
goldwind-model.js
goldwind-xr.js
tests/goldwind.test.cjs
tests/goldwind-browser.py</x:v>
      </x:c>
      <x:c r="M54" s="6" t="str">
        <x:v>0.16.0 Goldwind</x:v>
      </x:c>
      <x:c r="N54" s="6" t="str">
        <x:v>https://github.com/v5ma/v5ma.github.io/blob/master/vesperfall/first-bell.js</x:v>
      </x:c>
    </x:row>
    <x:row r="55" ht="124" customHeight="1">
      <x:c r="A55" s="6" t="str">
        <x:v>V50</x:v>
      </x:c>
      <x:c r="B55" s="6" t="str">
        <x:v>Encounter director with fair threat and recovery budgets</x:v>
      </x:c>
      <x:c r="C55" s="6" t="str">
        <x:v>Partial</x:v>
      </x:c>
      <x:c r="D55" s="6" t="str">
        <x:v>P0</x:v>
      </x:c>
      <x:c r="E55" s="6" t="str">
        <x:v>M2</x:v>
      </x:c>
      <x:c r="F55" s="6" t="str">
        <x:v>Combat</x:v>
      </x:c>
      <x:c r="G55" s="6" t="str">
        <x:v>Gameplay / assignment pending</x:v>
      </x:c>
      <x:c r="H55" s="6" t="str">
        <x:v>V13, V40, V43</x:v>
      </x:c>
      <x:c r="I55" s="6" t="str">
        <x:v>Fifteen archetypes need readable group pacing, not simultaneous noise.</x:v>
      </x:c>
      <x:c r="J55" s="6" t="str">
        <x:v>Coordinate telegraphed melee/ranged attacks, limit unavoidable overlap and offscreen attacks, preserve escape routes and add recovery beats. Replay fixed-seed stress encounters.</x:v>
      </x:c>
      <x:c r="K55" s="6" t="str">
        <x:v>The optional Oath coordinates three staged encounters with front-hemisphere initiation, bolt/windup budgets and recovery supplies. The original Endless mode is unchanged. Broad seed/human difficulty evaluation remains open. Returning Bell deliberately places five retained defenders along different approaches; it does not claim a new global director or patrol system.</x:v>
      </x:c>
      <x:c r="L55" s="6" t="str">
        <x:v>oath-model.js
tests/oath.test.cjs
tests/first-bell-browser.py</x:v>
      </x:c>
      <x:c r="M55" s="6" t="str">
        <x:v>0.10.0 First Bell</x:v>
      </x:c>
      <x:c r="N55" s="6" t="str">
        <x:v>https://github.com/v5ma/v5ma.github.io/blob/master/vesperfall/oath-model.js</x:v>
      </x:c>
    </x:row>
    <x:row r="56" ht="124" customHeight="1">
      <x:c r="A56" s="6" t="str">
        <x:v>V51</x:v>
      </x:c>
      <x:c r="B56" s="6" t="str">
        <x:v>First signature boss: readable multi-phase duel</x:v>
      </x:c>
      <x:c r="C56" s="6" t="str">
        <x:v>Partial</x:v>
      </x:c>
      <x:c r="D56" s="6" t="str">
        <x:v>P1</x:v>
      </x:c>
      <x:c r="E56" s="6" t="str">
        <x:v>M2</x:v>
      </x:c>
      <x:c r="F56" s="6" t="str">
        <x:v>Combat</x:v>
      </x:c>
      <x:c r="G56" s="6" t="str">
        <x:v>Gameplay / assignment pending</x:v>
      </x:c>
      <x:c r="H56" s="6" t="str">
        <x:v>V50, V18, V04</x:v>
      </x:c>
      <x:c r="I56" s="6" t="str">
        <x:v>Create a memorable mastery test rather than another enlarged standard enemy.</x:v>
      </x:c>
      <x:c r="J56" s="6" t="str">
        <x:v>An original boss changes tactics across three tested phases, uses cover/height, offers weak-point windows and has no unavoidable transition damage or restart softlock.</x:v>
      </x:c>
      <x:c r="K56" s="6" t="str">
        <x:v>The Bellkeeper has three committed attack phases, armor/recovery weak points and protected transitions. Original procedural character art is implemented; production rigging, animation and human difficulty approval are not complete.</x:v>
      </x:c>
      <x:c r="L56" s="6" t="str">
        <x:v>oath-model.js
first-bell.js
tests/oath.test.cjs
tests/first-bell-browser.py</x:v>
      </x:c>
      <x:c r="M56" s="6" t="str">
        <x:v>0.10.0 First Bell</x:v>
      </x:c>
      <x:c r="N56" s="6" t="str">
        <x:v>https://github.com/v5ma/v5ma.github.io/blob/master/vesperfall/oath-model.js</x:v>
      </x:c>
    </x:row>
    <x:row r="57" ht="162" customHeight="1">
      <x:c r="A57" s="6" t="str">
        <x:v>V52</x:v>
      </x:c>
      <x:c r="B57" s="6" t="str">
        <x:v>Authored vertical-slice route grammar and route contracts</x:v>
      </x:c>
      <x:c r="C57" s="6" t="str">
        <x:v>Partial</x:v>
      </x:c>
      <x:c r="D57" s="6" t="str">
        <x:v>P0</x:v>
      </x:c>
      <x:c r="E57" s="6" t="str">
        <x:v>M2</x:v>
      </x:c>
      <x:c r="F57" s="6" t="str">
        <x:v>World</x:v>
      </x:c>
      <x:c r="G57" s="6" t="str">
        <x:v>Level design / assignment pending</x:v>
      </x:c>
      <x:c r="H57" s="6" t="str">
        <x:v>V39, V34</x:v>
      </x:c>
      <x:c r="I57" s="6" t="str">
        <x:v>Replace sheer room count with deliberately paced exploration.</x:v>
      </x:c>
      <x:c r="J57" s="6" t="str">
        <x:v>One polished 20-30 minute target route mixes safe introduction, alternate approach, escalating encounter, discovery and boss payoff. Validate every traversal connector and recovery path. Duration is a design target, not measured content. Preserve multi-level gothic sightlines and multiple approaches. Plan selective water-adjacent discoveries with purpose; the present water layer does not create new navigable rooms.</x:v>
      </x:c>
      <x:c r="K57" s="6" t="str">
        <x:v>Open Line refines the existing seven-place chapter instead of expanding it. A new versioned central stair shares the screen's cover/shot tradeoff with a repositioned existing watcher. Ordinary arrows can lift the brass release; the gallery still reverses it. A learned signal shot can complete without entering the tower. Model and controller-driven route comparisons record actual distance, simulation time, health and shots; human comprehension, enjoyment and the original finished-slice gate remain open.</x:v>
      </x:c>
      <x:c r="L57" s="6" t="str">
        <x:v>oath-model.js
first-bell.js
tests/oath.test.cjs
CONTINUATION-AUDIT.md
returning-bell-model.js
returning-bell-art.js
returning-bell.js
tests/returning-bell.test.cjs
tests/returning-bell-browser.py
RETURNING-BELL.md
OPEN-LINE.md
returning-bell-lanes.js
tests/open-line.test.cjs
tests/open-line-browser.py</x:v>
      </x:c>
      <x:c r="M57" s="6" t="str">
        <x:v>0.15.0 Open Line</x:v>
      </x:c>
      <x:c r="N57" s="6" t="str">
        <x:v>https://github.com/v5ma/v5ma.github.io/blob/master/vesperfall/oath-model.js</x:v>
      </x:c>
    </x:row>
    <x:row r="58" ht="124" customHeight="1">
      <x:c r="A58" s="6" t="str">
        <x:v>V53</x:v>
      </x:c>
      <x:c r="B58" s="6" t="str">
        <x:v>Meaningful run builds and loot-choice balance</x:v>
      </x:c>
      <x:c r="C58" s="6" t="str">
        <x:v>Planned</x:v>
      </x:c>
      <x:c r="D58" s="6" t="str">
        <x:v>P1</x:v>
      </x:c>
      <x:c r="E58" s="6" t="str">
        <x:v>M2</x:v>
      </x:c>
      <x:c r="F58" s="6" t="str">
        <x:v>Progression</x:v>
      </x:c>
      <x:c r="G58" s="6" t="str">
        <x:v>Engineering / assignment pending</x:v>
      </x:c>
      <x:c r="H58" s="6" t="str">
        <x:v>V46, V51</x:v>
      </x:c>
      <x:c r="I58" s="6" t="str">
        <x:v>Give repeated runs a changing strategy and satisfying decisions.</x:v>
      </x:c>
      <x:c r="J58" s="6" t="str">
        <x:v>At least three viable archery build identities create distinct trade-offs; costs, loot odds and special-arrow counters are documented and tested. No mandatory grind to access basic controls.</x:v>
      </x:c>
      <x:c r="K58" s="6" t="str">
        <x:v>Not closed; no completion credit without gate evidence.</x:v>
      </x:c>
      <x:c r="L58" s="6" t="str"/>
      <x:c r="M58" s="6" t="str"/>
      <x:c r="N58" s="6" t="str">
        <x:v>https://github.com/v5ma/v5ma.github.io/blob/master/vesperfall/roadmap.json</x:v>
      </x:c>
    </x:row>
    <x:row r="59" ht="162" customHeight="1">
      <x:c r="A59" s="6" t="str">
        <x:v>V54</x:v>
      </x:c>
      <x:c r="B59" s="6" t="str">
        <x:v>Original rigged enemy, bow-hand and shield production assets</x:v>
      </x:c>
      <x:c r="C59" s="6" t="str">
        <x:v>Partial</x:v>
      </x:c>
      <x:c r="D59" s="6" t="str">
        <x:v>P0</x:v>
      </x:c>
      <x:c r="E59" s="6" t="str">
        <x:v>M3</x:v>
      </x:c>
      <x:c r="F59" s="6" t="str">
        <x:v>Art</x:v>
      </x:c>
      <x:c r="G59" s="6" t="str">
        <x:v>Technical art</x:v>
      </x:c>
      <x:c r="H59" s="6" t="str">
        <x:v>V14, V50</x:v>
      </x:c>
      <x:c r="I59" s="6" t="str">
        <x:v>Foreground and character quality must catch up with the architecture.</x:v>
      </x:c>
      <x:c r="J59" s="6" t="str">
        <x:v>Produce consistent original/licensed meshes, LODs, rigs and materials for one complete vertical slice; registered provenance; review both eye views and close-range silhouette. Retain the 15 existing archetypes, including the 12 added outer enemy orders. Improve humanoid/knight silhouettes and counterplay; do not restart the already delivered numerical expansion or copy commercial reference assets.</x:v>
      </x:c>
      <x:c r="K59" s="6" t="str">
        <x:v>Original procedural humanoids now have two-bone legs, articulated arms, smaller helmets and less oversized torsos. Movement drives foot contact and terrain sampling; no hitbox changes. This is a procedural animation foundation, not a completed production mesh/LOD/retargeting pipeline.</x:v>
      </x:c>
      <x:c r="L59" s="6" t="str">
        <x:v>dominion-art.js
surestep-art.js
surestep-model.js
tests/surestep.test.cjs
SURESTEP.md</x:v>
      </x:c>
      <x:c r="M59" s="6" t="str">
        <x:v>0.13.0</x:v>
      </x:c>
      <x:c r="N59" s="6" t="str">
        <x:v>https://github.com/v5ma/v5ma.github.io/blob/master/vesperfall/CONTINUATION-AUDIT.md</x:v>
      </x:c>
    </x:row>
    <x:row r="60" ht="124" customHeight="1">
      <x:c r="A60" s="6" t="str">
        <x:v>V55</x:v>
      </x:c>
      <x:c r="B60" s="6" t="str">
        <x:v>Animation transitions, reactions and archery weight</x:v>
      </x:c>
      <x:c r="C60" s="6" t="str">
        <x:v>Planned</x:v>
      </x:c>
      <x:c r="D60" s="6" t="str">
        <x:v>P1</x:v>
      </x:c>
      <x:c r="E60" s="6" t="str">
        <x:v>M3</x:v>
      </x:c>
      <x:c r="F60" s="6" t="str">
        <x:v>Art</x:v>
      </x:c>
      <x:c r="G60" s="6" t="str">
        <x:v>Technical art / assignment pending</x:v>
      </x:c>
      <x:c r="H60" s="6" t="str">
        <x:v>V54</x:v>
      </x:c>
      <x:c r="I60" s="6" t="str">
        <x:v>Make enemies and weapons feel physical instead of procedural placeholders.</x:v>
      </x:c>
      <x:c r="J60" s="6" t="str">
        <x:v>Blend idle/locomotion/windup/recovery/hit/death clips; grounded contact and readable hands; reactions never hide the true hitbox or cancel a valid counter.</x:v>
      </x:c>
      <x:c r="K60" s="6" t="str">
        <x:v>Not closed; no completion credit without gate evidence.</x:v>
      </x:c>
      <x:c r="L60" s="6" t="str"/>
      <x:c r="M60" s="6" t="str"/>
      <x:c r="N60" s="6" t="str">
        <x:v>https://github.com/v5ma/v5ma.github.io/blob/master/vesperfall/roadmap.json</x:v>
      </x:c>
    </x:row>
    <x:row r="61" ht="124" customHeight="1">
      <x:c r="A61" s="6" t="str">
        <x:v>V56</x:v>
      </x:c>
      <x:c r="B61" s="6" t="str">
        <x:v>Three strongly differentiated biome packages</x:v>
      </x:c>
      <x:c r="C61" s="6" t="str">
        <x:v>Planned</x:v>
      </x:c>
      <x:c r="D61" s="6" t="str">
        <x:v>P1</x:v>
      </x:c>
      <x:c r="E61" s="6" t="str">
        <x:v>M3</x:v>
      </x:c>
      <x:c r="F61" s="6" t="str">
        <x:v>World</x:v>
      </x:c>
      <x:c r="G61" s="6" t="str">
        <x:v>Level design / assignment pending</x:v>
      </x:c>
      <x:c r="H61" s="6" t="str">
        <x:v>V52, V54</x:v>
      </x:c>
      <x:c r="I61" s="6" t="str">
        <x:v>Different sectors should feel like places, not palette swaps.</x:v>
      </x:c>
      <x:c r="J61" s="6" t="str">
        <x:v>Complete coherent crypt, storm roof and luminous sanctuary kits with different navigation, encounter opportunities, materials and sonic palettes. Validate seed combinations and repeated transitions.</x:v>
      </x:c>
      <x:c r="K61" s="6" t="str">
        <x:v>Not closed; no completion credit without gate evidence.</x:v>
      </x:c>
      <x:c r="L61" s="6" t="str"/>
      <x:c r="M61" s="6" t="str"/>
      <x:c r="N61" s="6" t="str">
        <x:v>https://github.com/v5ma/v5ma.github.io/blob/master/vesperfall/roadmap.json</x:v>
      </x:c>
    </x:row>
    <x:row r="62" ht="124" customHeight="1">
      <x:c r="A62" s="6" t="str">
        <x:v>V57</x:v>
      </x:c>
      <x:c r="B62" s="6" t="str">
        <x:v>Original environmental narrative and reward presentation</x:v>
      </x:c>
      <x:c r="C62" s="6" t="str">
        <x:v>Partial</x:v>
      </x:c>
      <x:c r="D62" s="6" t="str">
        <x:v>P0</x:v>
      </x:c>
      <x:c r="E62" s="6" t="str">
        <x:v>M3</x:v>
      </x:c>
      <x:c r="F62" s="6" t="str">
        <x:v>Presentation</x:v>
      </x:c>
      <x:c r="G62" s="6" t="str">
        <x:v>Art / audio / assignment pending</x:v>
      </x:c>
      <x:c r="H62" s="6" t="str">
        <x:v>V52, V56</x:v>
      </x:c>
      <x:c r="I62" s="6" t="str">
        <x:v>Give exploration emotional meaning and recognizable destinations.</x:v>
      </x:c>
      <x:c r="J62" s="6" t="str">
        <x:v>Public-only lore, landmarks and discoveries connect the world; skippable/accessible presentation; no private story content enters this repository without permission.</x:v>
      </x:c>
      <x:c r="K62" s="6" t="str">
        <x:v>Open Line links a visible brass release and cable to the actual moving screens, labels the exposed short stair, and preserves the recognizable refuge gate. Functional cues express speed/exposure versus observation/control. Recognition and environmental-story understanding require unfamiliar-player observation; no human narrative rating is claimed.</x:v>
      </x:c>
      <x:c r="L62" s="6" t="str">
        <x:v>returning-bell-model.js
returning-bell-art.js
RETURNING-BELL.md
OPEN-LINE.md
returning-bell-lanes.js
tests/open-line.test.cjs
tests/open-line-browser.py</x:v>
      </x:c>
      <x:c r="M62" s="6" t="str">
        <x:v>0.15.0 Open Line</x:v>
      </x:c>
      <x:c r="N62" s="6" t="str">
        <x:v>https://github.com/v5ma/v5ma.github.io/blob/master/vesperfall/roadmap.json</x:v>
      </x:c>
    </x:row>
    <x:row r="63" ht="162" customHeight="1">
      <x:c r="A63" s="6" t="str">
        <x:v>V58</x:v>
      </x:c>
      <x:c r="B63" s="6" t="str">
        <x:v>Production sound/music pass, water acoustics and long-session clarity</x:v>
      </x:c>
      <x:c r="C63" s="6" t="str">
        <x:v>Planned</x:v>
      </x:c>
      <x:c r="D63" s="6" t="str">
        <x:v>P0</x:v>
      </x:c>
      <x:c r="E63" s="6" t="str">
        <x:v>M3</x:v>
      </x:c>
      <x:c r="F63" s="6" t="str">
        <x:v>Presentation</x:v>
      </x:c>
      <x:c r="G63" s="6" t="str">
        <x:v>Art / audio / assignment pending</x:v>
      </x:c>
      <x:c r="H63" s="6" t="str">
        <x:v>V43, V44, V50</x:v>
      </x:c>
      <x:c r="I63" s="6" t="str">
        <x:v>The user explicitly prioritizes much stronger in-game sound and music; precise archery also needs audible material identity and readable threat direction.</x:v>
      </x:c>
      <x:c r="J63" s="6" t="str">
        <x:v>Improve bow tension/release, crossbow winding/reload, arrow material impacts, shield impact/break, distinct enemy warnings, bells/wind, footsteps, water entries/splashes/drips and room ambience. Add restrained exploration/pressure/recovery/boss transitions; preserve independent buses, mute, captions, quiet mix, controller access and voice budgets. Pass PCM/lifecycle tests and a dated 30-minute human headphone review.</x:v>
      </x:c>
      <x:c r="K63" s="6" t="str">
        <x:v>Planned production pass. Resonant Hunt audio exists; current tidelight.js does not wire water-specific sounds. Earlier draft descriptions of positional water splashes/footsteps are not shipped evidence.</x:v>
      </x:c>
      <x:c r="L63" s="6" t="str">
        <x:v>RESONANT-HUNT.md
tidelight.js
CONTINUATION-AUDIT.md</x:v>
      </x:c>
      <x:c r="M63" s="6" t="str"/>
      <x:c r="N63" s="6" t="str">
        <x:v>https://github.com/v5ma/v5ma.github.io/blob/master/vesperfall/RESONANT-HUNT.md</x:v>
      </x:c>
    </x:row>
    <x:row r="64" ht="124" customHeight="1">
      <x:c r="A64" s="6" t="str">
        <x:v>V59</x:v>
      </x:c>
      <x:c r="B64" s="6" t="str">
        <x:v>Quest 3 measured frame-time and thermal budget</x:v>
      </x:c>
      <x:c r="C64" s="6" t="str">
        <x:v>Hardware QA</x:v>
      </x:c>
      <x:c r="D64" s="6" t="str">
        <x:v>P0</x:v>
      </x:c>
      <x:c r="E64" s="6" t="str">
        <x:v>M4</x:v>
      </x:c>
      <x:c r="F64" s="6" t="str">
        <x:v>Hardware</x:v>
      </x:c>
      <x:c r="G64" s="6" t="str">
        <x:v>Device QA / assignment pending</x:v>
      </x:c>
      <x:c r="H64" s="6" t="str">
        <x:v>V38, V54</x:v>
      </x:c>
      <x:c r="I64" s="6" t="str">
        <x:v>Only measured device performance can close the performance gate.</x:v>
      </x:c>
      <x:c r="J64" s="6" t="str">
        <x:v>Capture 30-minute native Quest traces with scene, headset/browser version, frame-time percentiles, dropped frames and thermal observations. Proposed minimum 72 Hz target: p95 CPU and GPU each under 13.89 ms; 90 Hz mode targets 11.11 ms. Targets are not current measurements.</x:v>
      </x:c>
      <x:c r="K64" s="6" t="str">
        <x:v>Not closed; no completion credit without gate evidence.</x:v>
      </x:c>
      <x:c r="L64" s="6" t="str"/>
      <x:c r="M64" s="6" t="str"/>
      <x:c r="N64" s="6" t="str">
        <x:v>https://github.com/v5ma/v5ma.github.io/blob/master/vesperfall/roadmap.json</x:v>
      </x:c>
    </x:row>
    <x:row r="65" ht="124" customHeight="1">
      <x:c r="A65" s="6" t="str">
        <x:v>V60</x:v>
      </x:c>
      <x:c r="B65" s="6" t="str">
        <x:v>World batching, distance detail and memory stability</x:v>
      </x:c>
      <x:c r="C65" s="6" t="str">
        <x:v>Planned</x:v>
      </x:c>
      <x:c r="D65" s="6" t="str">
        <x:v>P0</x:v>
      </x:c>
      <x:c r="E65" s="6" t="str">
        <x:v>M4</x:v>
      </x:c>
      <x:c r="F65" s="6" t="str">
        <x:v>Foundation</x:v>
      </x:c>
      <x:c r="G65" s="6" t="str">
        <x:v>Engineering / assignment pending</x:v>
      </x:c>
      <x:c r="H65" s="6" t="str">
        <x:v>V59</x:v>
      </x:c>
      <x:c r="I65" s="6" t="str">
        <x:v>Optimize the bottleneck actually observed on the target headset.</x:v>
      </x:c>
      <x:c r="J65" s="6" t="str">
        <x:v>Profile first, then budget visibility/batching/LODs and allocation. Ten rebuilds and VR/AR cycles show bounded memory and no steadily growing resources; visual quality remains readable.</x:v>
      </x:c>
      <x:c r="K65" s="6" t="str">
        <x:v>Not closed; no completion credit without gate evidence.</x:v>
      </x:c>
      <x:c r="L65" s="6" t="str"/>
      <x:c r="M65" s="6" t="str"/>
      <x:c r="N65" s="6" t="str">
        <x:v>https://github.com/v5ma/v5ma.github.io/blob/master/vesperfall/roadmap.json</x:v>
      </x:c>
    </x:row>
    <x:row r="66" ht="162" customHeight="1">
      <x:c r="A66" s="6" t="str">
        <x:v>V61</x:v>
      </x:c>
      <x:c r="B66" s="6" t="str">
        <x:v>Full remapping, seated/reach calibration and comfort presets</x:v>
      </x:c>
      <x:c r="C66" s="6" t="str">
        <x:v>Planned</x:v>
      </x:c>
      <x:c r="D66" s="6" t="str">
        <x:v>P0</x:v>
      </x:c>
      <x:c r="E66" s="6" t="str">
        <x:v>M4</x:v>
      </x:c>
      <x:c r="F66" s="6" t="str">
        <x:v>Comfort</x:v>
      </x:c>
      <x:c r="G66" s="6" t="str">
        <x:v>UX / accessibility</x:v>
      </x:c>
      <x:c r="H66" s="6" t="str">
        <x:v>V49, V41</x:v>
      </x:c>
      <x:c r="I66" s="6" t="str">
        <x:v>Different bodies and play spaces need more than a handedness toggle.</x:v>
      </x:c>
      <x:c r="J66" s="6" t="str">
        <x:v>Configurable action mapping with conflict checks, seated/standing height and reach calibration, turn/motion presets and readable UI. Each can be reset without a mouse. Resolve grip-role conflicts by documenting the current bow-hand shard/free-hand shield mapping; implement physical thrown shards under V24, not an undocumented remap. Cover every new water/audio panel in controller-only tests.</x:v>
      </x:c>
      <x:c r="K66" s="6" t="str">
        <x:v>Water controls and both handedness choices are exposed to tracked controllers and tracked-hand UI. Full rebinding/conflict checking, seated/reach calibration and hardware comfort presets remain unimplemented.</x:v>
      </x:c>
      <x:c r="L66" s="6" t="str">
        <x:v>dominion-controls.js
quest-hands.js
SURESTEP.md</x:v>
      </x:c>
      <x:c r="M66" s="6" t="str"/>
      <x:c r="N66" s="6" t="str">
        <x:v>https://github.com/v5ma/v5ma.github.io/blob/master/vesperfall/CONTINUATION-AUDIT.md</x:v>
      </x:c>
    </x:row>
    <x:row r="67" ht="124" customHeight="1">
      <x:c r="A67" s="6" t="str">
        <x:v>V62</x:v>
      </x:c>
      <x:c r="B67" s="6" t="str">
        <x:v>Physical Xbox/Quest/phone lifecycle matrix</x:v>
      </x:c>
      <x:c r="C67" s="6" t="str">
        <x:v>Hardware QA</x:v>
      </x:c>
      <x:c r="D67" s="6" t="str">
        <x:v>P0</x:v>
      </x:c>
      <x:c r="E67" s="6" t="str">
        <x:v>M4</x:v>
      </x:c>
      <x:c r="F67" s="6" t="str">
        <x:v>Hardware</x:v>
      </x:c>
      <x:c r="G67" s="6" t="str">
        <x:v>Device QA / assignment pending</x:v>
      </x:c>
      <x:c r="H67" s="6" t="str">
        <x:v>V15, V41, V61</x:v>
      </x:c>
      <x:c r="I67" s="6" t="str">
        <x:v>Emulated button events cannot certify actual hardware integration.</x:v>
      </x:c>
      <x:c r="J67" s="6" t="str">
        <x:v>Real USB/Bluetooth Xbox and both Quest hands pass pairing, disconnect during draw, visibility loss, denied permission, tracking interruption, save/continue and AR round trips. Record device/build/results.</x:v>
      </x:c>
      <x:c r="K67" s="6" t="str">
        <x:v>Not closed; no completion credit without gate evidence.</x:v>
      </x:c>
      <x:c r="L67" s="6" t="str"/>
      <x:c r="M67" s="6" t="str"/>
      <x:c r="N67" s="6" t="str">
        <x:v>https://github.com/v5ma/v5ma.github.io/blob/master/vesperfall/roadmap.json</x:v>
      </x:c>
    </x:row>
    <x:row r="68" ht="190" customHeight="1">
      <x:c r="A68" s="6" t="str">
        <x:v>V63</x:v>
      </x:c>
      <x:c r="B68" s="6" t="str">
        <x:v>Accessible subtitles, contrast and non-color threat cues</x:v>
      </x:c>
      <x:c r="C68" s="6" t="str">
        <x:v>Planned</x:v>
      </x:c>
      <x:c r="D68" s="6" t="str">
        <x:v>P1</x:v>
      </x:c>
      <x:c r="E68" s="6" t="str">
        <x:v>M4</x:v>
      </x:c>
      <x:c r="F68" s="6" t="str">
        <x:v>Comfort</x:v>
      </x:c>
      <x:c r="G68" s="6" t="str">
        <x:v>UX / accessibility / assignment pending</x:v>
      </x:c>
      <x:c r="H68" s="6" t="str">
        <x:v>V44, V55</x:v>
      </x:c>
      <x:c r="I68" s="6" t="str">
        <x:v>Threats and menus must remain readable beyond one ideal user.</x:v>
      </x:c>
      <x:c r="J68" s="6" t="str">
        <x:v>Text size/contrast, sound direction captions, color-independent ammunition/enemy signals and reduced-flash mode survive desktop, stereo and passthrough contexts. Human accessibility review required. Preserve the palm-familiar, diegetic status design for VR and supported accessibility fallbacks. The user requested discrete hit points rather than a bar; the existing numerical health model and desktop HUD are a recorded design gap, not authorization to silently change save semantics.</x:v>
      </x:c>
      <x:c r="K68" s="6" t="str">
        <x:v>Not closed; no completion credit without gate evidence.</x:v>
      </x:c>
      <x:c r="L68" s="6" t="str">
        <x:v>CONTINUATION-AUDIT.md</x:v>
      </x:c>
      <x:c r="M68" s="6" t="str"/>
      <x:c r="N68" s="6" t="str">
        <x:v>https://github.com/v5ma/v5ma.github.io/blob/master/vesperfall/CONTINUATION-AUDIT.md</x:v>
      </x:c>
    </x:row>
    <x:row r="69" ht="124" customHeight="1">
      <x:c r="A69" s="6" t="str">
        <x:v>V64</x:v>
      </x:c>
      <x:c r="B69" s="6" t="str">
        <x:v>Human difficulty, discovery and repeat-play study</x:v>
      </x:c>
      <x:c r="C69" s="6" t="str">
        <x:v>Planned</x:v>
      </x:c>
      <x:c r="D69" s="6" t="str">
        <x:v>P0</x:v>
      </x:c>
      <x:c r="E69" s="6" t="str">
        <x:v>M5</x:v>
      </x:c>
      <x:c r="F69" s="6" t="str">
        <x:v>Testing</x:v>
      </x:c>
      <x:c r="G69" s="6" t="str">
        <x:v>QA / play research / assignment pending</x:v>
      </x:c>
      <x:c r="H69" s="6" t="str">
        <x:v>V49, V51, V52</x:v>
      </x:c>
      <x:c r="I69" s="6" t="str">
        <x:v>Test whether the experience is enjoyable and understandable.</x:v>
      </x:c>
      <x:c r="J69" s="6" t="str">
        <x:v>Record at least 8 external playtest sessions as a proposed first research batch, including new/experienced players. Track task success, deaths, confusion, route discovery, fatigue and whether they choose another run. No automated score substitutes. For Returning Bell, record whether players form a plan, recognize the screen tradeoff and return gate, and exploit learning on replay without coaching.</x:v>
      </x:c>
      <x:c r="K69" s="6" t="str">
        <x:v>Not closed; no completion credit without gate evidence.</x:v>
      </x:c>
      <x:c r="L69" s="6" t="str"/>
      <x:c r="M69" s="6" t="str"/>
      <x:c r="N69" s="6" t="str">
        <x:v>https://github.com/v5ma/v5ma.github.io/blob/master/vesperfall/roadmap.json</x:v>
      </x:c>
    </x:row>
    <x:row r="70" ht="195" customHeight="1">
      <x:c r="A70" s="6" t="str">
        <x:v>V65</x:v>
      </x:c>
      <x:c r="B70" s="6" t="str">
        <x:v>Save migration, backup/export and upgrade compatibility</x:v>
      </x:c>
      <x:c r="C70" s="6" t="str">
        <x:v>Planned</x:v>
      </x:c>
      <x:c r="D70" s="6" t="str">
        <x:v>P0</x:v>
      </x:c>
      <x:c r="E70" s="6" t="str">
        <x:v>M5</x:v>
      </x:c>
      <x:c r="F70" s="6" t="str">
        <x:v>Progression</x:v>
      </x:c>
      <x:c r="G70" s="6" t="str">
        <x:v>Engineering / assignment pending</x:v>
      </x:c>
      <x:c r="H70" s="6" t="str">
        <x:v>V47</x:v>
      </x:c>
      <x:c r="I70" s="6" t="str">
        <x:v>A published game needs durable progress across later upgrades.</x:v>
      </x:c>
      <x:c r="J70" s="6" t="str">
        <x:v>Keep fixtures for old supported generator/schema versions, offer explicit local backup/restore and verify interrupted writes, browser quota and update migration. Never silently reset incompatible saves. Any future discrete-hit-point conversion must specify health/healing balance and tested checkpoint migration; retain current health and profiles in presentation-only releases.</x:v>
      </x:c>
      <x:c r="K70" s="6" t="str">
        <x:v>Legacy hollow-dominions-1 and returning-bell-1 fixtures remain. Open Line adds returning-bell-2 and captures/restores the actual layout identity; mechanism geometry is rebuilt before supported-position checks, including a player saved inside the raised-screen crossing. This compatibility work does not complete export, backup, storage eviction or general migration tooling. Goldwind adds an opt-in physical bow preset; exact model, native input and publication outcomes belong in its versioned evidence receipt. Classic/crossbow and Xbox remain. Real-device ergonomics and human acceptance are not closed.</x:v>
      </x:c>
      <x:c r="L70" s="6" t="str">
        <x:v>OPEN-LINE.md
returning-bell-lanes.js
tests/open-line.test.cjs
tests/open-line-browser.py
GOLDWIND.md
goldwind-model.js
goldwind-xr.js
tests/goldwind.test.cjs
tests/goldwind-browser.py</x:v>
      </x:c>
      <x:c r="M70" s="6" t="str">
        <x:v>0.16.0 Goldwind</x:v>
      </x:c>
      <x:c r="N70" s="6" t="str">
        <x:v>https://github.com/v5ma/v5ma.github.io/blob/master/vesperfall/OPEN-LINE.md</x:v>
      </x:c>
    </x:row>
    <x:row r="71" ht="176" customHeight="1">
      <x:c r="A71" s="6" t="str">
        <x:v>V66</x:v>
      </x:c>
      <x:c r="B71" s="6" t="str">
        <x:v>Broad seeded soak and repeated-session fault injection</x:v>
      </x:c>
      <x:c r="C71" s="6" t="str">
        <x:v>Planned</x:v>
      </x:c>
      <x:c r="D71" s="6" t="str">
        <x:v>P0</x:v>
      </x:c>
      <x:c r="E71" s="6" t="str">
        <x:v>M5</x:v>
      </x:c>
      <x:c r="F71" s="6" t="str">
        <x:v>Testing</x:v>
      </x:c>
      <x:c r="G71" s="6" t="str">
        <x:v>QA / play research / assignment pending</x:v>
      </x:c>
      <x:c r="H71" s="6" t="str">
        <x:v>V50, V60, V65</x:v>
      </x:c>
      <x:c r="I71" s="6" t="str">
        <x:v>Finite smoke tests are not a complete campaign quality gate.</x:v>
      </x:c>
      <x:c r="J71" s="6" t="str">
        <x:v>Run at least 1000 proposed seed/depth fixtures and 50 lifecycle transitions, tracking unreachable rewards, spawning collisions, NaNs, leaks and progress duplication. Publish failures and seed repros. Add dedicated Tidelight tests for pool placement across depth/seed, standing on high walks above water, actual arrow-water crossings, paused/reduced-effects motion, sector clock resets, AR return and old-save continuation.</x:v>
      </x:c>
      <x:c r="K71" s="6" t="str">
        <x:v>Not closed; no completion credit without gate evidence.</x:v>
      </x:c>
      <x:c r="L71" s="6" t="str">
        <x:v>CONTINUATION-AUDIT.md</x:v>
      </x:c>
      <x:c r="M71" s="6" t="str"/>
      <x:c r="N71" s="6" t="str">
        <x:v>https://github.com/v5ma/v5ma.github.io/blob/master/vesperfall/CONTINUATION-AUDIT.md</x:v>
      </x:c>
    </x:row>
    <x:row r="72" ht="124" customHeight="1">
      <x:c r="A72" s="6" t="str">
        <x:v>V67</x:v>
      </x:c>
      <x:c r="B72" s="6" t="str">
        <x:v>Cross-browser visuals and controller release matrix</x:v>
      </x:c>
      <x:c r="C72" s="6" t="str">
        <x:v>Planned</x:v>
      </x:c>
      <x:c r="D72" s="6" t="str">
        <x:v>P0</x:v>
      </x:c>
      <x:c r="E72" s="6" t="str">
        <x:v>M5</x:v>
      </x:c>
      <x:c r="F72" s="6" t="str">
        <x:v>Testing</x:v>
      </x:c>
      <x:c r="G72" s="6" t="str">
        <x:v>QA / play research / assignment pending</x:v>
      </x:c>
      <x:c r="H72" s="6" t="str">
        <x:v>V62, V63, V66</x:v>
      </x:c>
      <x:c r="I72" s="6" t="str">
        <x:v>A browser release must be clear about what actually works where.</x:v>
      </x:c>
      <x:c r="J72" s="6" t="str">
        <x:v>Maintain tested desktop Chrome/Edge/Firefox/Safari and target XR-browser configurations where APIs are supported. Unsupported modes explain themselves; all supported essential UI actions pass.</x:v>
      </x:c>
      <x:c r="K72" s="6" t="str">
        <x:v>Not closed; no completion credit without gate evidence.</x:v>
      </x:c>
      <x:c r="L72" s="6" t="str"/>
      <x:c r="M72" s="6" t="str"/>
      <x:c r="N72" s="6" t="str">
        <x:v>https://github.com/v5ma/v5ma.github.io/blob/master/vesperfall/roadmap.json</x:v>
      </x:c>
    </x:row>
    <x:row r="73" ht="195" customHeight="1">
      <x:c r="A73" s="6" t="str">
        <x:v>V68</x:v>
      </x:c>
      <x:c r="B73" s="6" t="str">
        <x:v>Release discipline, reproducible builds and rollback</x:v>
      </x:c>
      <x:c r="C73" s="6" t="str">
        <x:v>Partial</x:v>
      </x:c>
      <x:c r="D73" s="6" t="str">
        <x:v>P0</x:v>
      </x:c>
      <x:c r="E73" s="6" t="str">
        <x:v>M5</x:v>
      </x:c>
      <x:c r="F73" s="6" t="str">
        <x:v>Foundation</x:v>
      </x:c>
      <x:c r="G73" s="6" t="str">
        <x:v>Engineering / assignment pending</x:v>
      </x:c>
      <x:c r="H73" s="6" t="str">
        <x:v>V48, V65</x:v>
      </x:c>
      <x:c r="I73" s="6" t="str">
        <x:v>Do not confuse a merged commit with a complete verified release.</x:v>
      </x:c>
      <x:c r="J73" s="6" t="str">
        <x:v>For every finished upgrade, test the actual scoped source, commit and merge without overwriting sibling games, verify GitHub Pages deployment plus public runtime/asset/plan/workbook bytes, then launch the public game. Separate source, test, deployment, hardware and human evidence. Retry transient GitHub faults with backoff; inspect failed jobs instead of polling an unchanged failure list. Preserve explicit rollback and save-compatibility notes.</x:v>
      </x:c>
      <x:c r="K73" s="6" t="str">
        <x:v>Open Line retains exact-source model/workbook checks, four controller-driven route comparisons, full first-person VR/AR/hand/save regression and separate public-byte/launch verification. Preserve unsuccessful receipts and separate model, rendered software, physical-device and human evidence. Public success is recorded only in the matching publication receipt. Goldwind adds an opt-in physical bow preset; exact model, native input and publication outcomes belong in its versioned evidence receipt. Classic/crossbow and Xbox remain. Real-device ergonomics and human acceptance are not closed.</x:v>
      </x:c>
      <x:c r="L73" s="6" t="str">
        <x:v>tests/verify-live.py
tests/surestep-browser.py
tests/launch.py
SURESTEP.md
CONTINUATION-AUDIT.md
OPEN-LINE.md
returning-bell-lanes.js
tests/open-line.test.cjs
tests/open-line-browser.py
GOLDWIND.md
goldwind-model.js
goldwind-xr.js
tests/goldwind.test.cjs
tests/goldwind-browser.py</x:v>
      </x:c>
      <x:c r="M73" s="6" t="str">
        <x:v>0.16.0 Goldwind</x:v>
      </x:c>
      <x:c r="N73" s="6" t="str">
        <x:v>https://github.com/v5ma/v5ma.github.io/blob/master/vesperfall/tests/verify-live.py</x:v>
      </x:c>
    </x:row>
    <x:row r="74" ht="124" customHeight="1">
      <x:c r="A74" s="6" t="str">
        <x:v>V69</x:v>
      </x:c>
      <x:c r="B74" s="6" t="str">
        <x:v>Complete asset-rights, attribution and content audit</x:v>
      </x:c>
      <x:c r="C74" s="6" t="str">
        <x:v>Planned</x:v>
      </x:c>
      <x:c r="D74" s="6" t="str">
        <x:v>P0</x:v>
      </x:c>
      <x:c r="E74" s="6" t="str">
        <x:v>M5</x:v>
      </x:c>
      <x:c r="F74" s="6" t="str">
        <x:v>Art</x:v>
      </x:c>
      <x:c r="G74" s="6" t="str">
        <x:v>Technical art / assignment pending</x:v>
      </x:c>
      <x:c r="H74" s="6" t="str">
        <x:v>V54, V56, V57</x:v>
      </x:c>
      <x:c r="I74" s="6" t="str">
        <x:v>A production release needs a traceable asset pipeline.</x:v>
      </x:c>
      <x:c r="J74" s="6" t="str">
        <x:v>Every shipped mesh, texture, sound, font usage and narrative element has clear provenance/license and accessible attribution. Do not publish borrowed commercial game assets or private writing.</x:v>
      </x:c>
      <x:c r="K74" s="6" t="str">
        <x:v>Not closed; no completion credit without gate evidence.</x:v>
      </x:c>
      <x:c r="L74" s="6" t="str"/>
      <x:c r="M74" s="6" t="str"/>
      <x:c r="N74" s="6" t="str">
        <x:v>https://github.com/v5ma/v5ma.github.io/blob/master/vesperfall/roadmap.json</x:v>
      </x:c>
    </x:row>
    <x:row r="75" ht="124" customHeight="1">
      <x:c r="A75" s="6" t="str">
        <x:v>V70</x:v>
      </x:c>
      <x:c r="B75" s="6" t="str">
        <x:v>Content-complete campaign and replay challenge tuning</x:v>
      </x:c>
      <x:c r="C75" s="6" t="str">
        <x:v>Planned</x:v>
      </x:c>
      <x:c r="D75" s="6" t="str">
        <x:v>P1</x:v>
      </x:c>
      <x:c r="E75" s="6" t="str">
        <x:v>M5</x:v>
      </x:c>
      <x:c r="F75" s="6" t="str">
        <x:v>World</x:v>
      </x:c>
      <x:c r="G75" s="6" t="str">
        <x:v>Level design / assignment pending</x:v>
      </x:c>
      <x:c r="H75" s="6" t="str">
        <x:v>V53, V56, V64</x:v>
      </x:c>
      <x:c r="I75" s="6" t="str">
        <x:v>Finish and balance the agreed experience before expanding scope again.</x:v>
      </x:c>
      <x:c r="J75" s="6" t="str">
        <x:v>Complete the agreed campaign scope, enemy/loot combinations and endgame variations with no placeholder gates. Measure real play length and review progression fatigue before promising duration.</x:v>
      </x:c>
      <x:c r="K75" s="6" t="str">
        <x:v>Not closed; no completion credit without gate evidence.</x:v>
      </x:c>
      <x:c r="L75" s="6" t="str"/>
      <x:c r="M75" s="6" t="str"/>
      <x:c r="N75" s="6" t="str">
        <x:v>https://github.com/v5ma/v5ma.github.io/blob/master/vesperfall/roadmap.json</x:v>
      </x:c>
    </x:row>
    <x:row r="76" ht="124" customHeight="1">
      <x:c r="A76" s="6" t="str">
        <x:v>V71</x:v>
      </x:c>
      <x:c r="B76" s="6" t="str">
        <x:v>Beta blocking-bug and regression exit gate</x:v>
      </x:c>
      <x:c r="C76" s="6" t="str">
        <x:v>Planned</x:v>
      </x:c>
      <x:c r="D76" s="6" t="str">
        <x:v>P0</x:v>
      </x:c>
      <x:c r="E76" s="6" t="str">
        <x:v>M6</x:v>
      </x:c>
      <x:c r="F76" s="6" t="str">
        <x:v>Testing</x:v>
      </x:c>
      <x:c r="G76" s="6" t="str">
        <x:v>QA / play research / assignment pending</x:v>
      </x:c>
      <x:c r="H76" s="6" t="str">
        <x:v>V66, V67, V68, V70</x:v>
      </x:c>
      <x:c r="I76" s="6" t="str">
        <x:v>A release candidate should be stable, not just feature complete.</x:v>
      </x:c>
      <x:c r="J76" s="6" t="str">
        <x:v>No unresolved save-loss, crash, softlock or input-blocking defects in supported modes. Regressions are replayed on the final build; remaining nonblocking issues are documented.</x:v>
      </x:c>
      <x:c r="K76" s="6" t="str">
        <x:v>Not closed; no completion credit without gate evidence.</x:v>
      </x:c>
      <x:c r="L76" s="6" t="str"/>
      <x:c r="M76" s="6" t="str"/>
      <x:c r="N76" s="6" t="str">
        <x:v>https://github.com/v5ma/v5ma.github.io/blob/master/vesperfall/roadmap.json</x:v>
      </x:c>
    </x:row>
    <x:row r="77" ht="124" customHeight="1">
      <x:c r="A77" s="6" t="str">
        <x:v>V72</x:v>
      </x:c>
      <x:c r="B77" s="6" t="str">
        <x:v>Optional shareable challenges or online services</x:v>
      </x:c>
      <x:c r="C77" s="6" t="str">
        <x:v>Deferred</x:v>
      </x:c>
      <x:c r="D77" s="6" t="str">
        <x:v>P3</x:v>
      </x:c>
      <x:c r="E77" s="6" t="str">
        <x:v>M6</x:v>
      </x:c>
      <x:c r="F77" s="6" t="str">
        <x:v>Online</x:v>
      </x:c>
      <x:c r="G77" s="6" t="str">
        <x:v>Online engineering / assignment pending</x:v>
      </x:c>
      <x:c r="H77" s="6" t="str">
        <x:v>V17, V71</x:v>
      </x:c>
      <x:c r="I77" s="6" t="str">
        <x:v>Protect the local single-player loop from uncontrolled service scope.</x:v>
      </x:c>
      <x:c r="J77" s="6" t="str">
        <x:v>Start only after explicit design/authorization. Define moderation, consent, accounts, persistence, cost and fair-score limits; never quietly add telemetry or payments.</x:v>
      </x:c>
      <x:c r="K77" s="6" t="str">
        <x:v>Not closed; no completion credit without gate evidence.</x:v>
      </x:c>
      <x:c r="L77" s="6" t="str"/>
      <x:c r="M77" s="6" t="str"/>
      <x:c r="N77" s="6" t="str">
        <x:v>https://github.com/v5ma/v5ma.github.io/blob/master/vesperfall/roadmap.json</x:v>
      </x:c>
    </x:row>
    <x:row r="78" ht="124" customHeight="1">
      <x:c r="A78" s="6" t="str">
        <x:v>V73</x:v>
      </x:c>
      <x:c r="B78" s="6" t="str">
        <x:v>Final public launch, support and rollback evidence</x:v>
      </x:c>
      <x:c r="C78" s="6" t="str">
        <x:v>Planned</x:v>
      </x:c>
      <x:c r="D78" s="6" t="str">
        <x:v>P0</x:v>
      </x:c>
      <x:c r="E78" s="6" t="str">
        <x:v>M6</x:v>
      </x:c>
      <x:c r="F78" s="6" t="str">
        <x:v>Testing</x:v>
      </x:c>
      <x:c r="G78" s="6" t="str">
        <x:v>QA / play research / assignment pending</x:v>
      </x:c>
      <x:c r="H78" s="6" t="str">
        <x:v>V59, V62, V64, V69, V71</x:v>
      </x:c>
      <x:c r="I78" s="6" t="str">
        <x:v>A player-facing release is a tested service experience, not a repository label.</x:v>
      </x:c>
      <x:c r="J78" s="6" t="str">
        <x:v>Fresh browser and real headset users can discover/start/continue the game. All public assets match release hashes; QA reports, known issues, controls and support/rollback instructions are published.</x:v>
      </x:c>
      <x:c r="K78" s="6" t="str">
        <x:v>Not closed; no completion credit without gate evidence.</x:v>
      </x:c>
      <x:c r="L78" s="6" t="str"/>
      <x:c r="M78" s="6" t="str"/>
      <x:c r="N78" s="6" t="str">
        <x:v>https://github.com/v5ma/v5ma.github.io/blob/master/vesperfall/roadmap.json</x:v>
      </x:c>
    </x:row>
    <x:row r="79" ht="190" customHeight="1">
      <x:c r="A79" s="6" t="str">
        <x:v>V74</x:v>
      </x:c>
      <x:c r="B79" s="6" t="str">
        <x:v>Technical debt: separate model, input, presentation and lifecycle</x:v>
      </x:c>
      <x:c r="C79" s="6" t="str">
        <x:v>Planned</x:v>
      </x:c>
      <x:c r="D79" s="6" t="str">
        <x:v>P1</x:v>
      </x:c>
      <x:c r="E79" s="6" t="str">
        <x:v>M4</x:v>
      </x:c>
      <x:c r="F79" s="6" t="str">
        <x:v>Foundation</x:v>
      </x:c>
      <x:c r="G79" s="6" t="str">
        <x:v>Engineering / assignment pending</x:v>
      </x:c>
      <x:c r="H79" s="6" t="str">
        <x:v>V15, V48</x:v>
      </x:c>
      <x:c r="I79" s="6" t="str">
        <x:v>Repeated additive patches increase the risk of hidden lifecycle regressions.</x:v>
      </x:c>
      <x:c r="J79" s="6" t="str">
        <x:v>Reduce wrapper-order coupling with explicit lifecycle interfaces and dependency tests; preserve current save fixtures, deterministic physics and controller mappings. Audit current Tidelight: maxRipples is declared by policy but tick uploads all 10 slots; rebuild does not clear ripple timestamps/lastStep; inside() does not match the rendered inset; impact and footstep splash checks omit height. Treat these as source-review findings needing reproductions and tests, not fixes already shipped.</x:v>
      </x:c>
      <x:c r="K79" s="6" t="str">
        <x:v>Not closed; no completion credit without gate evidence.</x:v>
      </x:c>
      <x:c r="L79" s="6" t="str">
        <x:v>tidelight.js
tidelight-shaders.js
CONTINUATION-AUDIT.md</x:v>
      </x:c>
      <x:c r="M79" s="6" t="str"/>
      <x:c r="N79" s="6" t="str">
        <x:v>https://github.com/v5ma/v5ma.github.io/blob/master/vesperfall/tidelight.js</x:v>
      </x:c>
    </x:row>
    <x:row r="80" ht="124" customHeight="1">
      <x:c r="A80" s="6" t="str">
        <x:v>V75</x:v>
      </x:c>
      <x:c r="B80" s="6" t="str">
        <x:v>Checkpoint user lifecycle on physical devices</x:v>
      </x:c>
      <x:c r="C80" s="6" t="str">
        <x:v>Hardware QA</x:v>
      </x:c>
      <x:c r="D80" s="6" t="str">
        <x:v>P0</x:v>
      </x:c>
      <x:c r="E80" s="6" t="str">
        <x:v>M4</x:v>
      </x:c>
      <x:c r="F80" s="6" t="str">
        <x:v>Testing</x:v>
      </x:c>
      <x:c r="G80" s="6" t="str">
        <x:v>QA / play research / assignment pending</x:v>
      </x:c>
      <x:c r="H80" s="6" t="str">
        <x:v>V47</x:v>
      </x:c>
      <x:c r="I80" s="6" t="str">
        <x:v>Native automation covers behavior, not headset suspension and comfort.</x:v>
      </x:c>
      <x:c r="J80" s="6" t="str">
        <x:v>Test headset sleep, browser eviction, offline launch where supported, simultaneous tabs, blocked storage and continued 6.4m-floor saves using real devices. Confirm the paused return is comfortable.</x:v>
      </x:c>
      <x:c r="K80" s="6" t="str">
        <x:v>Not closed; no completion credit without gate evidence.</x:v>
      </x:c>
      <x:c r="L80" s="6" t="str"/>
      <x:c r="M80" s="6" t="str"/>
      <x:c r="N80" s="6" t="str">
        <x:v>https://github.com/v5ma/v5ma.github.io/blob/master/vesperfall/roadmap.json</x:v>
      </x:c>
    </x:row>
    <x:row r="81" ht="124" customHeight="1">
      <x:c r="A81" s="6" t="str">
        <x:v>V76</x:v>
      </x:c>
      <x:c r="B81" s="6" t="str">
        <x:v>First boss and encounter slice end-to-end release</x:v>
      </x:c>
      <x:c r="C81" s="6" t="str">
        <x:v>Partial</x:v>
      </x:c>
      <x:c r="D81" s="6" t="str">
        <x:v>P1</x:v>
      </x:c>
      <x:c r="E81" s="6" t="str">
        <x:v>M2</x:v>
      </x:c>
      <x:c r="F81" s="6" t="str">
        <x:v>Combat</x:v>
      </x:c>
      <x:c r="G81" s="6" t="str">
        <x:v>Gameplay / assignment pending</x:v>
      </x:c>
      <x:c r="H81" s="6" t="str">
        <x:v>V49, V50, V51, V52</x:v>
      </x:c>
      <x:c r="I81" s="6" t="str">
        <x:v>Concentrate production effort on one excellent experience instead of many unfinished systems.</x:v>
      </x:c>
      <x:c r="J81" s="6" t="str">
        <x:v>Publish one complete integrated slice, including onboarding, traversal, encounter pacing, boss payoff and saved continuation; collect human feedback before producing additional bosses.</x:v>
      </x:c>
      <x:c r="K81" s="6" t="str">
        <x:v>The authored opening retains the ordinary sector reward once and explicitly continues into Endless after its blessing. Open Line strengthens route purpose and a knowledge-based signal approach without adding a new boss or second authored chapter. Existing First Bell/Oath remain. External first/replay play and physical-device acceptance remain open.</x:v>
      </x:c>
      <x:c r="L81" s="6" t="str">
        <x:v>FIRST-BELL.md
tests/first-bell-browser.py
tests/pilgrim.test.cjs
OPEN-LINE.md
returning-bell-lanes.js
tests/open-line.test.cjs
tests/open-line-browser.py</x:v>
      </x:c>
      <x:c r="M81" s="6" t="str">
        <x:v>0.15.0 Open Line</x:v>
      </x:c>
      <x:c r="N81" s="6" t="str">
        <x:v>https://github.com/v5ma/v5ma.github.io/blob/master/vesperfall/FIRST-BELL.md</x:v>
      </x:c>
    </x:row>
    <x:row r="82">
      <x:c r="A82" s="6"/>
      <x:c r="B82" s="6"/>
      <x:c r="C82" s="6"/>
      <x:c r="D82" s="6"/>
      <x:c r="E82" s="6"/>
      <x:c r="F82" s="6"/>
      <x:c r="G82" s="6"/>
      <x:c r="H82" s="6"/>
      <x:c r="I82" s="6"/>
      <x:c r="J82" s="6"/>
      <x:c r="K82" s="6"/>
      <x:c r="L82" s="6"/>
      <x:c r="M82" s="6"/>
      <x:c r="N82" s="6"/>
    </x:row>
  </x:sheetData>
  <x:mergeCells>
    <x:mergeCell ref="A1:N2"/>
    <x:mergeCell ref="A3:N3"/>
  </x:mergeCells>
  <x:conditionalFormatting sqref="C6:C81">
    <x:cfRule type="expression" dxfId="0" priority="1">
      <x:formula>C6="Implemented"</x:formula>
    </x:cfRule>
    <x:cfRule type="expression" dxfId="1" priority="2">
      <x:formula>C6="Hardware QA"</x:formula>
    </x:cfRule>
    <x:cfRule type="expression" dxfId="2" priority="3">
      <x:formula>C6="Partial"</x:formula>
    </x:cfRule>
    <x:cfRule type="expression" dxfId="3" priority="4">
      <x:formula>C6="Planned"</x:formula>
    </x:cfRule>
  </x:conditionalFormatting>
  <x:conditionalFormatting sqref="D6:D81">
    <x:cfRule type="expression" dxfId="4" priority="5">
      <x:formula>D6="P0"</x:formula>
    </x:cfRule>
  </x:conditionalFormatting>
  <x:dataValidations count="3">
    <x:dataValidation type="list" sqref="C6:C81">
      <x:formula1>"Implemented,Partial,In progress,Planned,Hardware QA,Deferred"</x:formula1>
    </x:dataValidation>
    <x:dataValidation type="list" sqref="D6:D81">
      <x:formula1>"P0,P1,P2,P3"</x:formula1>
    </x:dataValidation>
    <x:dataValidation type="list" sqref="E6:E81">
      <x:formula1>"M0,M1,M2,M3,M4,M5,M6"</x:formula1>
    </x:dataValidation>
  </x:dataValidations>
  <x:pageMargins left="0.7" right="0.7" top="0.75" bottom="0.75" header="0.3" footer="0.3"/>
  <x:tableParts count="1">
    <x:tablePart xmlns:r="http://schemas.openxmlformats.org/officeDocument/2006/relationships" r:id="R958360007258475a"/>
  </x:tableParts>
</x:worksheet>
</file>

<file path=xl/worksheets/sheet3.xml><?xml version="1.0" encoding="utf-8"?>
<x:worksheet xmlns:x="http://schemas.openxmlformats.org/spreadsheetml/2006/main">
  <x:sheetFormatPr defaultRowHeight="15"/>
  <x:cols>
    <x:col min="1" max="1" width="8" hidden="0" customWidth="1"/>
    <x:col min="2" max="2" width="35" hidden="0" customWidth="1"/>
    <x:col min="3" max="3" width="18" hidden="0" customWidth="1"/>
    <x:col min="4" max="4" width="16" hidden="0" customWidth="1"/>
    <x:col min="5" max="5" width="38" hidden="0" customWidth="1"/>
    <x:col min="6" max="6" width="40" hidden="0" customWidth="1"/>
    <x:col min="7" max="7" width="13" hidden="0" customWidth="1"/>
    <x:col min="8" max="8" width="18" hidden="0" customWidth="1"/>
  </x:cols>
  <x:sheetData>
    <x:row r="1" ht="24" customHeight="1">
      <x:c r="A1" s="9" t="str">
        <x:v>SEVEN MILESTONES / EXPLICIT EXIT GATES</x:v>
      </x:c>
      <x:c r="B1" s="9"/>
      <x:c r="C1" s="9"/>
      <x:c r="D1" s="9"/>
      <x:c r="E1" s="9"/>
      <x:c r="F1" s="9"/>
      <x:c r="G1" s="9"/>
      <x:c r="H1" s="9"/>
    </x:row>
    <x:row r="2" ht="24" customHeight="1">
      <x:c r="A2" s="9"/>
      <x:c r="B2" s="9"/>
      <x:c r="C2" s="9"/>
      <x:c r="D2" s="9"/>
      <x:c r="E2" s="9"/>
      <x:c r="F2" s="9"/>
      <x:c r="G2" s="9"/>
      <x:c r="H2" s="9"/>
    </x:row>
    <x:row r="3" ht="36" customHeight="1">
      <x:c r="A3" s="12" t="str">
        <x:v>Sequence is quality-gated, not a promised calendar. M4 device work may overlap combat and art production. Counts recalculate from the Backlog sheet.</x:v>
      </x:c>
      <x:c r="B3" s="12"/>
      <x:c r="C3" s="12"/>
      <x:c r="D3" s="12"/>
      <x:c r="E3" s="12"/>
      <x:c r="F3" s="12"/>
      <x:c r="G3" s="12"/>
      <x:c r="H3" s="12"/>
    </x:row>
    <x:row r="4">
      <x:c r="A4" s="6"/>
      <x:c r="B4" s="6"/>
      <x:c r="C4" s="6"/>
      <x:c r="D4" s="6"/>
      <x:c r="E4" s="6"/>
      <x:c r="F4" s="6"/>
      <x:c r="G4" s="6"/>
      <x:c r="H4" s="6"/>
    </x:row>
    <x:row r="5" ht="34" customHeight="1">
      <x:c r="A5" s="15" t="str">
        <x:v>ID</x:v>
      </x:c>
      <x:c r="B5" s="15" t="str">
        <x:v>Milestone</x:v>
      </x:c>
      <x:c r="C5" s="15" t="str">
        <x:v>Status</x:v>
      </x:c>
      <x:c r="D5" s="15" t="str">
        <x:v>Prerequisites</x:v>
      </x:c>
      <x:c r="E5" s="15" t="str">
        <x:v>Goal</x:v>
      </x:c>
      <x:c r="F5" s="15" t="str">
        <x:v>Exit gate</x:v>
      </x:c>
      <x:c r="G5" s="15" t="str">
        <x:v>Tasks</x:v>
      </x:c>
      <x:c r="H5" s="15" t="str">
        <x:v>Implemented tasks</x:v>
      </x:c>
    </x:row>
    <x:row r="6" ht="112" customHeight="1">
      <x:c r="A6" s="6" t="str">
        <x:v>M0</x:v>
      </x:c>
      <x:c r="B6" s="6" t="str">
        <x:v>Playable foundations</x:v>
      </x:c>
      <x:c r="C6" s="6" t="str">
        <x:v>Partial</x:v>
      </x:c>
      <x:c r="D6" s="6" t="str">
        <x:v>None</x:v>
      </x:c>
      <x:c r="E6" s="6" t="str">
        <x:v>Retain shipped browser/VR/AR foundations and close the newest water-interface and release-evidence gaps.</x:v>
      </x:c>
      <x:c r="F6" s="6" t="str">
        <x:v>Current foundation and input/model/public deployment tests pass; hardware acceptance is not implied.</x:v>
      </x:c>
      <x:c r="G6" s="18" t="n">
        <x:f>COUNTIF(Backlog!$E$6:$E$81,A6)</x:f>
        <x:v>32</x:v>
      </x:c>
      <x:c r="H6" s="18" t="n">
        <x:f>COUNTIFS(Backlog!$E$6:$E$81,A6,Backlog!$C$6:$C$81,"Implemented")</x:f>
        <x:v>31</x:v>
      </x:c>
    </x:row>
    <x:row r="7" ht="112" customHeight="1">
      <x:c r="A7" s="6" t="str">
        <x:v>M1</x:v>
      </x:c>
      <x:c r="B7" s="6" t="str">
        <x:v>Reliable first-session slice</x:v>
      </x:c>
      <x:c r="C7" s="6" t="str">
        <x:v>In progress</x:v>
      </x:c>
      <x:c r="D7" s="6" t="str">
        <x:v>M0</x:v>
      </x:c>
      <x:c r="E7" s="6" t="str">
        <x:v>Continue safely and teach the physical loop.</x:v>
      </x:c>
      <x:c r="F7" s="6" t="str">
        <x:v>Saved expeditions, recovery, controller-first menus and tested first-ten-minute onboarding are complete.</x:v>
      </x:c>
      <x:c r="G7" s="18" t="n">
        <x:f>COUNTIF(Backlog!$E$6:$E$81,A7)</x:f>
        <x:v>5</x:v>
      </x:c>
      <x:c r="H7" s="18" t="n">
        <x:f>COUNTIFS(Backlog!$E$6:$E$81,A7,Backlog!$C$6:$C$81,"Implemented")</x:f>
        <x:v>3</x:v>
      </x:c>
    </x:row>
    <x:row r="8" ht="112" customHeight="1">
      <x:c r="A8" s="6" t="str">
        <x:v>M2</x:v>
      </x:c>
      <x:c r="B8" s="6" t="str">
        <x:v>Combat mastery slice</x:v>
      </x:c>
      <x:c r="C8" s="6" t="str">
        <x:v>In progress</x:v>
      </x:c>
      <x:c r="D8" s="6" t="str">
        <x:v>M1</x:v>
      </x:c>
      <x:c r="E8" s="6" t="str">
        <x:v>Make the authored Returning Bell opening legible and replayable, then extend its route grammar from observed evidence.</x:v>
      </x:c>
      <x:c r="F8" s="6" t="str">
        <x:v>Coordinated encounters, authored route grammar, first boss and viable run choices survive native and human playtests.</x:v>
      </x:c>
      <x:c r="G8" s="18" t="n">
        <x:f>COUNTIF(Backlog!$E$6:$E$81,A8)</x:f>
        <x:v>7</x:v>
      </x:c>
      <x:c r="H8" s="18" t="n">
        <x:f>COUNTIFS(Backlog!$E$6:$E$81,A8,Backlog!$C$6:$C$81,"Implemented")</x:f>
        <x:v>0</x:v>
      </x:c>
    </x:row>
    <x:row r="9" ht="112" customHeight="1">
      <x:c r="A9" s="6" t="str">
        <x:v>M3</x:v>
      </x:c>
      <x:c r="B9" s="6" t="str">
        <x:v>Production art and content identity</x:v>
      </x:c>
      <x:c r="C9" s="6" t="str">
        <x:v>Planned</x:v>
      </x:c>
      <x:c r="D9" s="6" t="str">
        <x:v>M2</x:v>
      </x:c>
      <x:c r="E9" s="6" t="str">
        <x:v>Replace unfinished assets and establish distinct places and sound.</x:v>
      </x:c>
      <x:c r="F9" s="6" t="str">
        <x:v>Original rigged foreground/enemy art, animation, three coherent biome kits, public narrative and long-session audio review.</x:v>
      </x:c>
      <x:c r="G9" s="18" t="n">
        <x:f>COUNTIF(Backlog!$E$6:$E$81,A9)</x:f>
        <x:v>7</x:v>
      </x:c>
      <x:c r="H9" s="18" t="n">
        <x:f>COUNTIFS(Backlog!$E$6:$E$81,A9,Backlog!$C$6:$C$81,"Implemented")</x:f>
        <x:v>0</x:v>
      </x:c>
    </x:row>
    <x:row r="10" ht="112" customHeight="1">
      <x:c r="A10" s="6" t="str">
        <x:v>M4</x:v>
      </x:c>
      <x:c r="B10" s="6" t="str">
        <x:v>Target-device performance and access</x:v>
      </x:c>
      <x:c r="C10" s="6" t="str">
        <x:v>Hardware QA</x:v>
      </x:c>
      <x:c r="D10" s="6" t="str">
        <x:v>M1</x:v>
      </x:c>
      <x:c r="E10" s="6" t="str">
        <x:v>Measure and tune the real Quest/Xbox/browser experience.</x:v>
      </x:c>
      <x:c r="F10" s="6" t="str">
        <x:v>Recorded device matrix, sustained frame-time traces, lifecycle tests, accessibility and stable resource use. Work may run alongside M2/M3.</x:v>
      </x:c>
      <x:c r="G10" s="18" t="n">
        <x:f>COUNTIF(Backlog!$E$6:$E$81,A10)</x:f>
        <x:v>11</x:v>
      </x:c>
      <x:c r="H10" s="18" t="n">
        <x:f>COUNTIFS(Backlog!$E$6:$E$81,A10,Backlog!$C$6:$C$81,"Implemented")</x:f>
        <x:v>0</x:v>
      </x:c>
    </x:row>
    <x:row r="11" ht="112" customHeight="1">
      <x:c r="A11" s="6" t="str">
        <x:v>M5</x:v>
      </x:c>
      <x:c r="B11" s="6" t="str">
        <x:v>Content-complete alpha and measured beta</x:v>
      </x:c>
      <x:c r="C11" s="6" t="str">
        <x:v>Planned</x:v>
      </x:c>
      <x:c r="D11" s="6" t="str">
        <x:v>M2, M3, M4</x:v>
      </x:c>
      <x:c r="E11" s="6" t="str">
        <x:v>Finish the agreed scope and test its reliability and appeal.</x:v>
      </x:c>
      <x:c r="F11" s="6" t="str">
        <x:v>Campaign/content completion, save migration, seeded soaks, external playtests, asset audit and cross-browser QA.</x:v>
      </x:c>
      <x:c r="G11" s="18" t="n">
        <x:f>COUNTIF(Backlog!$E$6:$E$81,A11)</x:f>
        <x:v>10</x:v>
      </x:c>
      <x:c r="H11" s="18" t="n">
        <x:f>COUNTIFS(Backlog!$E$6:$E$81,A11,Backlog!$C$6:$C$81,"Implemented")</x:f>
        <x:v>0</x:v>
      </x:c>
    </x:row>
    <x:row r="12" ht="112" customHeight="1">
      <x:c r="A12" s="6" t="str">
        <x:v>M6</x:v>
      </x:c>
      <x:c r="B12" s="6" t="str">
        <x:v>Release candidate and supported launch</x:v>
      </x:c>
      <x:c r="C12" s="6" t="str">
        <x:v>Planned</x:v>
      </x:c>
      <x:c r="D12" s="6" t="str">
        <x:v>M5</x:v>
      </x:c>
      <x:c r="E12" s="6" t="str">
        <x:v>Ship a stable and supportable finished game.</x:v>
      </x:c>
      <x:c r="F12" s="6" t="str">
        <x:v>No blocking defects, final physical acceptance, byte-verified launch, known-issues documentation and rehearsed save-safe rollback.</x:v>
      </x:c>
      <x:c r="G12" s="18" t="n">
        <x:f>COUNTIF(Backlog!$E$6:$E$81,A12)</x:f>
        <x:v>4</x:v>
      </x:c>
      <x:c r="H12" s="18" t="n">
        <x:f>COUNTIFS(Backlog!$E$6:$E$81,A12,Backlog!$C$6:$C$81,"Implemented")</x:f>
        <x:v>0</x:v>
      </x:c>
    </x:row>
    <x:row r="13">
      <x:c r="A13" s="6"/>
      <x:c r="B13" s="6"/>
      <x:c r="C13" s="6"/>
      <x:c r="D13" s="6"/>
      <x:c r="E13" s="6"/>
      <x:c r="F13" s="6"/>
      <x:c r="G13" s="6"/>
      <x:c r="H13" s="6"/>
    </x:row>
  </x:sheetData>
  <x:mergeCells>
    <x:mergeCell ref="A1:H2"/>
    <x:mergeCell ref="A3:H3"/>
  </x:mergeCells>
  <x:pageMargins left="0.7" right="0.7" top="0.75" bottom="0.75" header="0.3" footer="0.3"/>
  <x:tableParts count="1">
    <x:tablePart xmlns:r="http://schemas.openxmlformats.org/officeDocument/2006/relationships" r:id="Rb645a74757f84a3a"/>
  </x:tableParts>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30" hidden="0" customWidth="1"/>
    <x:col min="4" max="4" width="40" hidden="0" customWidth="1"/>
    <x:col min="5" max="5" width="19" hidden="0" customWidth="1"/>
    <x:col min="6" max="6" width="18" hidden="0" customWidth="1"/>
    <x:col min="7" max="7" width="40" hidden="0" customWidth="1"/>
    <x:col min="8" max="8" width="27" hidden="0" customWidth="1"/>
    <x:col min="9" max="9" width="15" hidden="0" customWidth="1"/>
    <x:col min="10" max="10" width="35" hidden="0" customWidth="1"/>
  </x:cols>
  <x:sheetData>
    <x:row r="1" ht="24" customHeight="1">
      <x:c r="A1" s="9" t="str">
        <x:v>DEVICE QA / RECORD THE ACTUAL HARDWARE</x:v>
      </x:c>
      <x:c r="B1" s="9"/>
      <x:c r="C1" s="9"/>
      <x:c r="D1" s="9"/>
      <x:c r="E1" s="9"/>
      <x:c r="F1" s="9"/>
      <x:c r="G1" s="9"/>
      <x:c r="H1" s="9"/>
      <x:c r="I1" s="9"/>
      <x:c r="J1" s="9"/>
    </x:row>
    <x:row r="2" ht="24" customHeight="1">
      <x:c r="A2" s="9"/>
      <x:c r="B2" s="9"/>
      <x:c r="C2" s="9"/>
      <x:c r="D2" s="9"/>
      <x:c r="E2" s="9"/>
      <x:c r="F2" s="9"/>
      <x:c r="G2" s="9"/>
      <x:c r="H2" s="9"/>
      <x:c r="I2" s="9"/>
      <x:c r="J2" s="9"/>
    </x:row>
    <x:row r="3" ht="36" customHeight="1">
      <x:c r="A3" s="12" t="str">
        <x:v>Targets are proposed planning budgets, not current measurements. Fill build hash, date, versions and results after real device sessions. Software fixtures cannot close these rows.</x:v>
      </x:c>
      <x:c r="B3" s="12"/>
      <x:c r="C3" s="12"/>
      <x:c r="D3" s="12"/>
      <x:c r="E3" s="12"/>
      <x:c r="F3" s="12"/>
      <x:c r="G3" s="12"/>
      <x:c r="H3" s="12"/>
      <x:c r="I3" s="12"/>
      <x:c r="J3" s="12"/>
    </x:row>
    <x:row r="4">
      <x:c r="A4" s="6"/>
      <x:c r="B4" s="6"/>
      <x:c r="C4" s="6"/>
      <x:c r="D4" s="6"/>
      <x:c r="E4" s="6"/>
      <x:c r="F4" s="6"/>
      <x:c r="G4" s="6"/>
      <x:c r="H4" s="6"/>
      <x:c r="I4" s="6"/>
      <x:c r="J4" s="6"/>
    </x:row>
    <x:row r="5" ht="34" customHeight="1">
      <x:c r="A5" s="15" t="str">
        <x:v>ID</x:v>
      </x:c>
      <x:c r="B5" s="15" t="str">
        <x:v>Device / mode</x:v>
      </x:c>
      <x:c r="C5" s="15" t="str">
        <x:v>Configuration</x:v>
      </x:c>
      <x:c r="D5" s="15" t="str">
        <x:v>Scenario / acceptance target</x:v>
      </x:c>
      <x:c r="E5" s="15" t="str">
        <x:v>Task references</x:v>
      </x:c>
      <x:c r="F5" s="15" t="str">
        <x:v>Current evidence</x:v>
      </x:c>
      <x:c r="G5" s="15" t="str">
        <x:v>Recording instructions</x:v>
      </x:c>
      <x:c r="H5" s="15" t="str">
        <x:v>Build hash / version</x:v>
      </x:c>
      <x:c r="I5" s="15" t="str">
        <x:v>Test date</x:v>
      </x:c>
      <x:c r="J5" s="15" t="str">
        <x:v>Tester / result</x:v>
      </x:c>
    </x:row>
    <x:row r="6" ht="126" customHeight="1">
      <x:c r="A6" s="6" t="str">
        <x:v>Q01</x:v>
      </x:c>
      <x:c r="B6" s="6" t="str">
        <x:v>Quest 3 / VR</x:v>
      </x:c>
      <x:c r="C6" s="6" t="str">
        <x:v>Both handedness settings</x:v>
      </x:c>
      <x:c r="D6" s="6" t="str">
        <x:v>Classic and Goldwind bow, both handedness settings, near-nock face-button travel, deliberate disk release/drop, shield-binding alternatives, physical quiver and retained crossbow</x:v>
      </x:c>
      <x:c r="E6" s="6" t="str">
        <x:v>V02,V04,V18,V24,V25,V45,V61</x:v>
      </x:c>
      <x:c r="F6" s="6" t="str">
        <x:v>Not run</x:v>
      </x:c>
      <x:c r="G6" s="6" t="str">
        <x:v>Record headset OS, browser, build hash, reach setting and session notes.</x:v>
      </x:c>
      <x:c r="H6" s="6"/>
      <x:c r="I6" s="20"/>
      <x:c r="J6" s="6"/>
    </x:row>
    <x:row r="7" ht="126" customHeight="1">
      <x:c r="A7" s="6" t="str">
        <x:v>Q02</x:v>
      </x:c>
      <x:c r="B7" s="6" t="str">
        <x:v>Quest 3 / VR</x:v>
      </x:c>
      <x:c r="C7" s="6" t="str">
        <x:v>72 Hz baseline target</x:v>
      </x:c>
      <x:c r="D7" s="6" t="str">
        <x:v>30-minute worst-case combat/route trace; p95 CPU/GPU under 13.89 ms proposed target</x:v>
      </x:c>
      <x:c r="E7" s="6" t="str">
        <x:v>V59,V60</x:v>
      </x:c>
      <x:c r="F7" s="6" t="str">
        <x:v>Not run</x:v>
      </x:c>
      <x:c r="G7" s="6" t="str">
        <x:v>Record actual refresh mode, percentiles, missed frames, memory and heat.</x:v>
      </x:c>
      <x:c r="H7" s="6"/>
      <x:c r="I7" s="20"/>
      <x:c r="J7" s="6"/>
    </x:row>
    <x:row r="8" ht="126" customHeight="1">
      <x:c r="A8" s="6" t="str">
        <x:v>Q03</x:v>
      </x:c>
      <x:c r="B8" s="6" t="str">
        <x:v>Quest 3 / VR</x:v>
      </x:c>
      <x:c r="C8" s="6" t="str">
        <x:v>90 Hz optional target</x:v>
      </x:c>
      <x:c r="D8" s="6" t="str">
        <x:v>Only enable after measured p95 CPU/GPU under 11.11 ms at agreed visual quality</x:v>
      </x:c>
      <x:c r="E8" s="6" t="str">
        <x:v>V59</x:v>
      </x:c>
      <x:c r="F8" s="6" t="str">
        <x:v>Not run</x:v>
      </x:c>
      <x:c r="G8" s="6" t="str">
        <x:v>A software GPU or frame counter is not proof of native refresh.</x:v>
      </x:c>
      <x:c r="H8" s="6"/>
      <x:c r="I8" s="20"/>
      <x:c r="J8" s="6"/>
    </x:row>
    <x:row r="9" ht="126" customHeight="1">
      <x:c r="A9" s="6" t="str">
        <x:v>Q04</x:v>
      </x:c>
      <x:c r="B9" s="6" t="str">
        <x:v>Quest 3 / AR</x:v>
      </x:c>
      <x:c r="C9" s="6" t="str">
        <x:v>Sanctuary and Architect's Table</x:v>
      </x:c>
      <x:c r="D9" s="6" t="str">
        <x:v>Passthrough, virtual-table placement/recenter/layers, tracked controllers and pinch UI, and exact paused-expedition restoration</x:v>
      </x:c>
      <x:c r="E9" s="6" t="str">
        <x:v>V42,V62</x:v>
      </x:c>
      <x:c r="F9" s="6" t="str">
        <x:v>Not run</x:v>
      </x:c>
      <x:c r="G9" s="6" t="str">
        <x:v>Record physical visibility, reach and legibility. Table has no detected physical anchor or real-world occlusion.</x:v>
      </x:c>
      <x:c r="H9" s="6"/>
      <x:c r="I9" s="20"/>
      <x:c r="J9" s="6"/>
    </x:row>
    <x:row r="10" ht="126" customHeight="1">
      <x:c r="A10" s="6" t="str">
        <x:v>Q05</x:v>
      </x:c>
      <x:c r="B10" s="6" t="str">
        <x:v>Quest 3 / lifecycle</x:v>
      </x:c>
      <x:c r="C10" s="6" t="str">
        <x:v>Sleep / visibility / tracking</x:v>
      </x:c>
      <x:c r="D10" s="6" t="str">
        <x:v>Suspend while drawing or holding/flying disk; hand/controller changes; held input acquisition; no stray release or save loss</x:v>
      </x:c>
      <x:c r="E10" s="6" t="str">
        <x:v>V75</x:v>
      </x:c>
      <x:c r="F10" s="6" t="str">
        <x:v>Not run</x:v>
      </x:c>
      <x:c r="G10" s="6" t="str">
        <x:v>No stale release, accidental movement or loss of progress.</x:v>
      </x:c>
      <x:c r="H10" s="6"/>
      <x:c r="I10" s="20"/>
      <x:c r="J10" s="6"/>
    </x:row>
    <x:row r="11" ht="126" customHeight="1">
      <x:c r="A11" s="6" t="str">
        <x:v>Q06</x:v>
      </x:c>
      <x:c r="B11" s="6" t="str">
        <x:v>Xbox / desktop</x:v>
      </x:c>
      <x:c r="C11" s="6" t="str">
        <x:v>USB and Bluetooth</x:v>
      </x:c>
      <x:c r="D11" s="6" t="str">
        <x:v>All actions, menus, dialogs, seed entry, save/continue and reconnect during draw</x:v>
      </x:c>
      <x:c r="E11" s="6" t="str">
        <x:v>V10,V41,V62</x:v>
      </x:c>
      <x:c r="F11" s="6" t="str">
        <x:v>Not run</x:v>
      </x:c>
      <x:c r="G11" s="6" t="str">
        <x:v>Record OS, browser and physical controller model/connection.</x:v>
      </x:c>
      <x:c r="H11" s="6"/>
      <x:c r="I11" s="20"/>
      <x:c r="J11" s="6"/>
    </x:row>
    <x:row r="12" ht="126" customHeight="1">
      <x:c r="A12" s="6" t="str">
        <x:v>Q07</x:v>
      </x:c>
      <x:c r="B12" s="6" t="str">
        <x:v>Desktop browsers</x:v>
      </x:c>
      <x:c r="C12" s="6" t="str">
        <x:v>Chrome / Edge / Firefox / Safari</x:v>
      </x:c>
      <x:c r="D12" s="6" t="str">
        <x:v>Supported browser launch, input, audio gesture, save recovery and explicit unsupported XR messages</x:v>
      </x:c>
      <x:c r="E12" s="6" t="str">
        <x:v>V67</x:v>
      </x:c>
      <x:c r="F12" s="6" t="str">
        <x:v>Not run</x:v>
      </x:c>
      <x:c r="G12" s="6" t="str">
        <x:v>Specify actual tested versions; do not assume every browser offers XR.</x:v>
      </x:c>
      <x:c r="H12" s="6"/>
      <x:c r="I12" s="20"/>
      <x:c r="J12" s="6"/>
    </x:row>
    <x:row r="13" ht="126" customHeight="1">
      <x:c r="A13" s="6" t="str">
        <x:v>Q08</x:v>
      </x:c>
      <x:c r="B13" s="6" t="str">
        <x:v>Phone / touch</x:v>
      </x:c>
      <x:c r="C13" s="6" t="str">
        <x:v>Narrow display and orientation</x:v>
      </x:c>
      <x:c r="D13" s="6" t="str">
        <x:v>Launch, touch aim/shoot, UI scrolling, quiver and save continuation</x:v>
      </x:c>
      <x:c r="E13" s="6" t="str">
        <x:v>V10,V67</x:v>
      </x:c>
      <x:c r="F13" s="6" t="str">
        <x:v>Not run</x:v>
      </x:c>
      <x:c r="G13" s="6" t="str">
        <x:v>Record phone/browser, viewport, touch conflicts and readability.</x:v>
      </x:c>
      <x:c r="H13" s="6"/>
      <x:c r="I13" s="20"/>
      <x:c r="J13" s="6"/>
    </x:row>
    <x:row r="14" ht="126" customHeight="1">
      <x:c r="A14" s="6" t="str">
        <x:v>Q09</x:v>
      </x:c>
      <x:c r="B14" s="6" t="str">
        <x:v>Accessibility</x:v>
      </x:c>
      <x:c r="C14" s="6" t="str">
        <x:v>Seated / shorter reach / captions</x:v>
      </x:c>
      <x:c r="D14" s="6" t="str">
        <x:v>Comfort presets, remapping, contrast, reduced effects and non-color warnings</x:v>
      </x:c>
      <x:c r="E14" s="6" t="str">
        <x:v>V61,V63</x:v>
      </x:c>
      <x:c r="F14" s="6" t="str">
        <x:v>Not run</x:v>
      </x:c>
      <x:c r="G14" s="6" t="str">
        <x:v>Recruit users with varied needs; emulation cannot close human review.</x:v>
      </x:c>
      <x:c r="H14" s="6"/>
      <x:c r="I14" s="20"/>
      <x:c r="J14" s="6"/>
    </x:row>
    <x:row r="15" ht="126" customHeight="1">
      <x:c r="A15" s="6" t="str">
        <x:v>Q10</x:v>
      </x:c>
      <x:c r="B15" s="6" t="str">
        <x:v>Persistence</x:v>
      </x:c>
      <x:c r="C15" s="6" t="str">
        <x:v>Quota / corrupt / multi-tab</x:v>
      </x:c>
      <x:c r="D15" s="6" t="str">
        <x:v>Failures are visible, no silent overwrite, explicit recovery and profile retention</x:v>
      </x:c>
      <x:c r="E15" s="6" t="str">
        <x:v>V47,V65,V75</x:v>
      </x:c>
      <x:c r="F15" s="6" t="str">
        <x:v>Software only</x:v>
      </x:c>
      <x:c r="G15" s="6" t="str">
        <x:v>Native software plus unit fault injection; repeat on devices.</x:v>
      </x:c>
      <x:c r="H15" s="6"/>
      <x:c r="I15" s="20"/>
      <x:c r="J15" s="6"/>
    </x:row>
    <x:row r="16" ht="140" customHeight="1">
      <x:c r="A16" s="6" t="str">
        <x:v>Q11</x:v>
      </x:c>
      <x:c r="B16" s="6" t="str">
        <x:v>Quest 3 / Tidelight</x:v>
      </x:c>
      <x:c r="C16" s="6" t="str">
        <x:v>Water and complete spatial settings</x:v>
      </x:c>
      <x:c r="D16" s="6" t="str">
        <x:v>Reach/change/close all water controls; enforce actual ripple/pool budget; verify both eyes, AR exclusion and repeated XR entry/exit</x:v>
      </x:c>
      <x:c r="E16" s="6" t="str">
        <x:v>V38,V41,V62,V74</x:v>
      </x:c>
      <x:c r="F16" s="6" t="str">
        <x:v>Not run</x:v>
      </x:c>
      <x:c r="G16" s="6" t="str">
        <x:v>Record source/build hash and real headset/browser versions. Policy fields alone are not proof that runtime honors the caps.</x:v>
      </x:c>
      <x:c r="H16" s="6"/>
      <x:c r="I16" s="6"/>
      <x:c r="J16" s="6"/>
    </x:row>
    <x:row r="17" ht="140" customHeight="1">
      <x:c r="A17" s="47" t="str">
        <x:v>Q12</x:v>
      </x:c>
      <x:c r="B17" s="47" t="str">
        <x:v>Desktop / water and audio</x:v>
      </x:c>
      <x:c r="C17" s="47" t="str">
        <x:v>Source-to-screen/sound parity</x:v>
      </x:c>
      <x:c r="D17" s="47" t="str">
        <x:v>Seed/depth-specific pools, visible stone, caustics, actual impact/footstep positions and music/water mix; no false claim of reflection/refraction</x:v>
      </x:c>
      <x:c r="E17" s="47" t="str">
        <x:v>V35,V58,V66</x:v>
      </x:c>
      <x:c r="F17" s="47" t="str">
        <x:v>Not run</x:v>
      </x:c>
      <x:c r="G17" s="47" t="str">
        <x:v>Archive actual gameplay screenshots and audio receipts. Recovering a draft does not make its features part of the release.</x:v>
      </x:c>
      <x:c r="H17" s="47"/>
      <x:c r="I17" s="47"/>
      <x:c r="J17" s="47"/>
    </x:row>
  </x:sheetData>
  <x:mergeCells>
    <x:mergeCell ref="A1:J2"/>
    <x:mergeCell ref="A3:J3"/>
  </x:mergeCells>
  <x:dataValidations count="2">
    <x:dataValidation type="list" sqref="F6:F15">
      <x:formula1>"Not run,Software only,Passed on device,Failed on device,Blocked"</x:formula1>
    </x:dataValidation>
    <x:dataValidation type="list" sqref="F6:F17">
      <x:formula1>"Not run,Software only,Pass,Fail,Blocked"</x:formula1>
    </x:dataValidation>
  </x:dataValidations>
  <x:pageMargins left="0.7" right="0.7" top="0.75" bottom="0.75" header="0.3" footer="0.3"/>
  <x:tableParts count="1">
    <x:tablePart xmlns:r="http://schemas.openxmlformats.org/officeDocument/2006/relationships" r:id="R037fb1aaadb14064"/>
  </x:tableParts>
</x:worksheet>
</file>

<file path=xl/worksheets/sheet5.xml><?xml version="1.0" encoding="utf-8"?>
<x:worksheet xmlns:x="http://schemas.openxmlformats.org/spreadsheetml/2006/main">
  <x:sheetFormatPr defaultRowHeight="15"/>
  <x:cols>
    <x:col min="1" max="1" width="8" hidden="0" customWidth="1"/>
    <x:col min="2" max="2" width="25" hidden="0" customWidth="1"/>
    <x:col min="3" max="3" width="30" hidden="0" customWidth="1"/>
    <x:col min="4" max="4" width="40" hidden="0" customWidth="1"/>
    <x:col min="5" max="5" width="38" hidden="0" customWidth="1"/>
    <x:col min="6" max="6" width="25" hidden="0" customWidth="1"/>
    <x:col min="7" max="7" width="26" hidden="0" customWidth="1"/>
    <x:col min="8" max="8" width="38" hidden="0" customWidth="1"/>
  </x:cols>
  <x:sheetData>
    <x:row r="1" ht="24" customHeight="1">
      <x:c r="A1" s="9" t="str">
        <x:v>RELEASE GATES / FINISHED MEANS VERIFIED</x:v>
      </x:c>
      <x:c r="B1" s="9"/>
      <x:c r="C1" s="9"/>
      <x:c r="D1" s="9"/>
      <x:c r="E1" s="9"/>
      <x:c r="F1" s="9"/>
      <x:c r="G1" s="9"/>
      <x:c r="H1" s="9"/>
    </x:row>
    <x:row r="2" ht="24" customHeight="1">
      <x:c r="A2" s="9"/>
      <x:c r="B2" s="9"/>
      <x:c r="C2" s="9"/>
      <x:c r="D2" s="9"/>
      <x:c r="E2" s="9"/>
      <x:c r="F2" s="9"/>
      <x:c r="G2" s="9"/>
      <x:c r="H2" s="9"/>
    </x:row>
    <x:row r="3" ht="36" customHeight="1">
      <x:c r="A3" s="12" t="str">
        <x:v>Every release needs the software/publication gates. A production release also needs real hardware, human experience, rights/content and stability acceptance.</x:v>
      </x:c>
      <x:c r="B3" s="12"/>
      <x:c r="C3" s="12"/>
      <x:c r="D3" s="12"/>
      <x:c r="E3" s="12"/>
      <x:c r="F3" s="12"/>
      <x:c r="G3" s="12"/>
      <x:c r="H3" s="12"/>
    </x:row>
    <x:row r="4">
      <x:c r="A4" s="6"/>
      <x:c r="B4" s="6"/>
      <x:c r="C4" s="6"/>
      <x:c r="D4" s="6"/>
      <x:c r="E4" s="6"/>
      <x:c r="F4" s="6"/>
      <x:c r="G4" s="6"/>
      <x:c r="H4" s="6"/>
    </x:row>
    <x:row r="5" ht="34" customHeight="1">
      <x:c r="A5" s="15" t="str">
        <x:v>ID</x:v>
      </x:c>
      <x:c r="B5" s="15" t="str">
        <x:v>Gate</x:v>
      </x:c>
      <x:c r="C5" s="15" t="str">
        <x:v>Owner role</x:v>
      </x:c>
      <x:c r="D5" s="15" t="str">
        <x:v>Acceptance criterion</x:v>
      </x:c>
      <x:c r="E5" s="15" t="str">
        <x:v>Evidence path</x:v>
      </x:c>
      <x:c r="F5" s="15" t="str">
        <x:v>When required</x:v>
      </x:c>
      <x:c r="G5" s="15" t="str">
        <x:v>Gate category</x:v>
      </x:c>
      <x:c r="H5" s="15" t="str">
        <x:v>Result / evidence receipt</x:v>
      </x:c>
    </x:row>
    <x:row r="6" ht="165" customHeight="1">
      <x:c r="A6" s="6" t="str">
        <x:v>G01</x:v>
      </x:c>
      <x:c r="B6" s="6" t="str">
        <x:v>Scope and source</x:v>
      </x:c>
      <x:c r="C6" s="6" t="str">
        <x:v>Engineering</x:v>
      </x:c>
      <x:c r="D6" s="6" t="str">
        <x:v>Only reviewed game paths change; exact source/build is identified; private story excluded. Canonical roadmap version, release version and core version must agree; the workbook must match every task field and the JSON digest.</x:v>
      </x:c>
      <x:c r="E6" s="6" t="str">
        <x:v>tests and repository diff</x:v>
      </x:c>
      <x:c r="F6" s="6" t="str">
        <x:v>Every release</x:v>
      </x:c>
      <x:c r="G6" s="6" t="str">
        <x:v>Software gate</x:v>
      </x:c>
      <x:c r="H6" s="6"/>
    </x:row>
    <x:row r="7" ht="110" customHeight="1">
      <x:c r="A7" s="6" t="str">
        <x:v>G02</x:v>
      </x:c>
      <x:c r="B7" s="6" t="str">
        <x:v>Deterministic simulation</x:v>
      </x:c>
      <x:c r="C7" s="6" t="str">
        <x:v>Gameplay / QA</x:v>
      </x:c>
      <x:c r="D7" s="6" t="str">
        <x:v>Syntax and all current model suites pass; no tunneling, duplicated rewards or nonfinite state.</x:v>
      </x:c>
      <x:c r="E7" s="6" t="str">
        <x:v>tests/*.test.cjs</x:v>
      </x:c>
      <x:c r="F7" s="6" t="str">
        <x:v>Every release</x:v>
      </x:c>
      <x:c r="G7" s="6" t="str">
        <x:v>Software gate</x:v>
      </x:c>
      <x:c r="H7" s="6"/>
    </x:row>
    <x:row r="8" ht="165" customHeight="1">
      <x:c r="A8" s="6" t="str">
        <x:v>G03</x:v>
      </x:c>
      <x:c r="B8" s="6" t="str">
        <x:v>Controller and UI</x:v>
      </x:c>
      <x:c r="C8" s="6" t="str">
        <x:v>UX / QA</x:v>
      </x:c>
      <x:c r="D8" s="6" t="str">
        <x:v>Native Xbox and stereo-XR fixtures pass; essential actions have no mouse-only dead end. Include Tidelight water controls and both Quest handedness settings; historical menus alone do not close the expanded UI gate.</x:v>
      </x:c>
      <x:c r="E8" s="6" t="str">
        <x:v>tests/dominions-browser.py</x:v>
      </x:c>
      <x:c r="F8" s="6" t="str">
        <x:v>Every release</x:v>
      </x:c>
      <x:c r="G8" s="6" t="str">
        <x:v>Software gate</x:v>
      </x:c>
      <x:c r="H8" s="6"/>
    </x:row>
    <x:row r="9" ht="110" customHeight="1">
      <x:c r="A9" s="6" t="str">
        <x:v>G04</x:v>
      </x:c>
      <x:c r="B9" s="6" t="str">
        <x:v>Save continuity</x:v>
      </x:c>
      <x:c r="C9" s="6" t="str">
        <x:v>Engineering / QA</x:v>
      </x:c>
      <x:c r="D9" s="6" t="str">
        <x:v>Checkpoint reload, partial projectiles/timers, practice/AR isolation, conflict and corrupt-storage recovery pass.</x:v>
      </x:c>
      <x:c r="E9" s="6" t="str">
        <x:v>tests/pilgrim.test.cjs; tests/pilgrim-browser.py</x:v>
      </x:c>
      <x:c r="F9" s="6" t="str">
        <x:v>Every release</x:v>
      </x:c>
      <x:c r="G9" s="6" t="str">
        <x:v>Software gate</x:v>
      </x:c>
      <x:c r="H9" s="6"/>
    </x:row>
    <x:row r="10" ht="165" customHeight="1">
      <x:c r="A10" s="6" t="str">
        <x:v>G05</x:v>
      </x:c>
      <x:c r="B10" s="6" t="str">
        <x:v>Audio and visuals</x:v>
      </x:c>
      <x:c r="C10" s="6" t="str">
        <x:v>Technical art / audio</x:v>
      </x:c>
      <x:c r="D10" s="6" t="str">
        <x:v>Native WebGL and stereo audio checks pass; no script errors, broken asset loads or repeating hidden-tab backlog. Dedicated water render/lifecycle and future water-sound evidence are required; do not substitute release text or a successful Pages build.</x:v>
      </x:c>
      <x:c r="E10" s="6" t="str">
        <x:v>tests/resonant-browser.py; tests/jewelglass-browser.py</x:v>
      </x:c>
      <x:c r="F10" s="6" t="str">
        <x:v>Every release</x:v>
      </x:c>
      <x:c r="G10" s="6" t="str">
        <x:v>Software gate</x:v>
      </x:c>
      <x:c r="H10" s="6"/>
    </x:row>
    <x:row r="11" ht="110" customHeight="1">
      <x:c r="A11" s="6" t="str">
        <x:v>G06</x:v>
      </x:c>
      <x:c r="B11" s="6" t="str">
        <x:v>Actual publication</x:v>
      </x:c>
      <x:c r="C11" s="6" t="str">
        <x:v>Release engineering</x:v>
      </x:c>
      <x:c r="D11" s="6" t="str">
        <x:v>All public runtime/asset/roadmap/workbook bytes match; public homepage launch and relevant live browser checks pass.</x:v>
      </x:c>
      <x:c r="E11" s="6" t="str">
        <x:v>tests/verify-live.py; tests/launch.py</x:v>
      </x:c>
      <x:c r="F11" s="6" t="str">
        <x:v>Every release</x:v>
      </x:c>
      <x:c r="G11" s="6" t="str">
        <x:v>Software gate</x:v>
      </x:c>
      <x:c r="H11" s="6"/>
    </x:row>
    <x:row r="12" ht="110" customHeight="1">
      <x:c r="A12" s="6" t="str">
        <x:v>G07</x:v>
      </x:c>
      <x:c r="B12" s="6" t="str">
        <x:v>Physical hardware</x:v>
      </x:c>
      <x:c r="C12" s="6" t="str">
        <x:v>Device QA</x:v>
      </x:c>
      <x:c r="D12" s="6" t="str">
        <x:v>Supported device scenarios have dated build-specific receipts, including sustained Quest frame-time traces.</x:v>
      </x:c>
      <x:c r="E12" s="6" t="str">
        <x:v>Device QA sheet; V59,V62,V75</x:v>
      </x:c>
      <x:c r="F12" s="6" t="str">
        <x:v>Before production release</x:v>
      </x:c>
      <x:c r="G12" s="6" t="str">
        <x:v>Open hardware gate</x:v>
      </x:c>
      <x:c r="H12" s="6"/>
    </x:row>
    <x:row r="13" ht="110" customHeight="1">
      <x:c r="A13" s="6" t="str">
        <x:v>G08</x:v>
      </x:c>
      <x:c r="B13" s="6" t="str">
        <x:v>Human experience</x:v>
      </x:c>
      <x:c r="C13" s="6" t="str">
        <x:v>Play research</x:v>
      </x:c>
      <x:c r="D13" s="6" t="str">
        <x:v>Onboarding, challenge, fatigue, sound balance and repeat-play feedback are recorded and blocking concerns resolved.</x:v>
      </x:c>
      <x:c r="E13" s="6" t="str">
        <x:v>V16,V58,V64</x:v>
      </x:c>
      <x:c r="F13" s="6" t="str">
        <x:v>Before production release</x:v>
      </x:c>
      <x:c r="G13" s="6" t="str">
        <x:v>Open human gate</x:v>
      </x:c>
      <x:c r="H13" s="6"/>
    </x:row>
    <x:row r="14" ht="110" customHeight="1">
      <x:c r="A14" s="6" t="str">
        <x:v>G09</x:v>
      </x:c>
      <x:c r="B14" s="6" t="str">
        <x:v>Content and rights</x:v>
      </x:c>
      <x:c r="C14" s="6" t="str">
        <x:v>Production</x:v>
      </x:c>
      <x:c r="D14" s="6" t="str">
        <x:v>Agreed scope complete, rights/provenance checked, public-only narrative and no placeholder blocking flow.</x:v>
      </x:c>
      <x:c r="E14" s="6" t="str">
        <x:v>V69,V70</x:v>
      </x:c>
      <x:c r="F14" s="6" t="str">
        <x:v>Before production release</x:v>
      </x:c>
      <x:c r="G14" s="6" t="str">
        <x:v>Open production gate</x:v>
      </x:c>
      <x:c r="H14" s="6"/>
    </x:row>
    <x:row r="15" ht="110" customHeight="1">
      <x:c r="A15" s="6" t="str">
        <x:v>G10</x:v>
      </x:c>
      <x:c r="B15" s="6" t="str">
        <x:v>Release stability</x:v>
      </x:c>
      <x:c r="C15" s="6" t="str">
        <x:v>Release engineering / QA</x:v>
      </x:c>
      <x:c r="D15" s="6" t="str">
        <x:v>No blocking defects; tested rollback preserves supported saves; known issues and support instructions are published.</x:v>
      </x:c>
      <x:c r="E15" s="6" t="str">
        <x:v>V68,V71,V73</x:v>
      </x:c>
      <x:c r="F15" s="6" t="str">
        <x:v>Before production release</x:v>
      </x:c>
      <x:c r="G15" s="6" t="str">
        <x:v>Open production gate</x:v>
      </x:c>
      <x:c r="H15" s="6"/>
    </x:row>
    <x:row r="16">
      <x:c r="A16" s="6"/>
      <x:c r="B16" s="6"/>
      <x:c r="C16" s="6"/>
      <x:c r="D16" s="6"/>
      <x:c r="E16" s="6"/>
      <x:c r="F16" s="6"/>
      <x:c r="G16" s="6"/>
      <x:c r="H16" s="6"/>
    </x:row>
  </x:sheetData>
  <x:mergeCells>
    <x:mergeCell ref="A1:H2"/>
    <x:mergeCell ref="A3:H3"/>
  </x:mergeCells>
  <x:pageMargins left="0.7" right="0.7" top="0.75" bottom="0.75" header="0.3" footer="0.3"/>
  <x:tableParts count="1">
    <x:tablePart xmlns:r="http://schemas.openxmlformats.org/officeDocument/2006/relationships" r:id="R46a5c22e2a4c4f25"/>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12" hidden="0" customWidth="1"/>
    <x:col min="4" max="4" width="27" hidden="0" customWidth="1"/>
    <x:col min="5" max="5" width="40" hidden="0" customWidth="1"/>
    <x:col min="6" max="6" width="23" hidden="0" customWidth="1"/>
    <x:col min="7" max="7" width="40" hidden="0" customWidth="1"/>
    <x:col min="8" max="8" width="23" hidden="0" customWidth="1"/>
  </x:cols>
  <x:sheetData>
    <x:row r="1" ht="24" customHeight="1">
      <x:c r="A1" s="9" t="str">
        <x:v>RISK REGISTER / DO NOT HIDE THE GAPS</x:v>
      </x:c>
      <x:c r="B1" s="9"/>
      <x:c r="C1" s="9"/>
      <x:c r="D1" s="9"/>
      <x:c r="E1" s="9"/>
      <x:c r="F1" s="9"/>
      <x:c r="G1" s="9"/>
      <x:c r="H1" s="9"/>
    </x:row>
    <x:row r="2" ht="24" customHeight="1">
      <x:c r="A2" s="9"/>
      <x:c r="B2" s="9"/>
      <x:c r="C2" s="9"/>
      <x:c r="D2" s="9"/>
      <x:c r="E2" s="9"/>
      <x:c r="F2" s="9"/>
      <x:c r="G2" s="9"/>
      <x:c r="H2" s="9"/>
    </x:row>
    <x:row r="3" ht="36" customHeight="1">
      <x:c r="A3" s="12" t="str">
        <x:v>Risks belong to owner roles to assign. Mitigation is not proof of closure; record real evidence when the risk changes.</x:v>
      </x:c>
      <x:c r="B3" s="12"/>
      <x:c r="C3" s="12"/>
      <x:c r="D3" s="12"/>
      <x:c r="E3" s="12"/>
      <x:c r="F3" s="12"/>
      <x:c r="G3" s="12"/>
      <x:c r="H3" s="12"/>
    </x:row>
    <x:row r="4">
      <x:c r="A4" s="6"/>
      <x:c r="B4" s="6"/>
      <x:c r="C4" s="6"/>
      <x:c r="D4" s="6"/>
      <x:c r="E4" s="6"/>
      <x:c r="F4" s="6"/>
      <x:c r="G4" s="6"/>
      <x:c r="H4" s="6"/>
    </x:row>
    <x:row r="5" ht="34" customHeight="1">
      <x:c r="A5" s="15" t="str">
        <x:v>ID</x:v>
      </x:c>
      <x:c r="B5" s="15" t="str">
        <x:v>Risk</x:v>
      </x:c>
      <x:c r="C5" s="15" t="str">
        <x:v>Severity</x:v>
      </x:c>
      <x:c r="D5" s="15" t="str">
        <x:v>Owner role</x:v>
      </x:c>
      <x:c r="E5" s="15" t="str">
        <x:v>Trigger / evidence gap</x:v>
      </x:c>
      <x:c r="F5" s="15" t="str">
        <x:v>Task references</x:v>
      </x:c>
      <x:c r="G5" s="15" t="str">
        <x:v>Mitigation / next action</x:v>
      </x:c>
      <x:c r="H5" s="15" t="str">
        <x:v>Status</x:v>
      </x:c>
    </x:row>
    <x:row r="6" ht="100" customHeight="1">
      <x:c r="A6" s="6" t="str">
        <x:v>R01</x:v>
      </x:c>
      <x:c r="B6" s="6" t="str">
        <x:v>Device performance is unmeasured</x:v>
      </x:c>
      <x:c r="C6" s="6" t="str">
        <x:v>High</x:v>
      </x:c>
      <x:c r="D6" s="6" t="str">
        <x:v>Physical Quest QA</x:v>
      </x:c>
      <x:c r="E6" s="6" t="str">
        <x:v>Actual native GPU/CPU traces absent</x:v>
      </x:c>
      <x:c r="F6" s="6" t="str">
        <x:v>V59,V60</x:v>
      </x:c>
      <x:c r="G6" s="6" t="str">
        <x:v>Run the device trace before adding more expensive visual effects.</x:v>
      </x:c>
      <x:c r="H6" s="6" t="str">
        <x:v>Open</x:v>
      </x:c>
    </x:row>
    <x:row r="7" ht="100" customHeight="1">
      <x:c r="A7" s="6" t="str">
        <x:v>R02</x:v>
      </x:c>
      <x:c r="B7" s="6" t="str">
        <x:v>Large feature count without a polished signature slice</x:v>
      </x:c>
      <x:c r="C7" s="6" t="str">
        <x:v>High</x:v>
      </x:c>
      <x:c r="D7" s="6" t="str">
        <x:v>Production / level design</x:v>
      </x:c>
      <x:c r="E7" s="6" t="str">
        <x:v>Authored opening exists, but newcomer understanding and replay enjoyment are unmeasured</x:v>
      </x:c>
      <x:c r="F7" s="6" t="str">
        <x:v>V49,V50,V51,V52,V76</x:v>
      </x:c>
      <x:c r="G7" s="6" t="str">
        <x:v>Observe recognition, route choice and replay before producing another chapter.</x:v>
      </x:c>
      <x:c r="H7" s="6" t="str">
        <x:v>Open</x:v>
      </x:c>
    </x:row>
    <x:row r="8" ht="100" customHeight="1">
      <x:c r="A8" s="6" t="str">
        <x:v>R03</x:v>
      </x:c>
      <x:c r="B8" s="6" t="str">
        <x:v>Input and lifecycle wrapper coupling</x:v>
      </x:c>
      <x:c r="C8" s="6" t="str">
        <x:v>High</x:v>
      </x:c>
      <x:c r="D8" s="6" t="str">
        <x:v>Engineering</x:v>
      </x:c>
      <x:c r="E8" s="6" t="str">
        <x:v>Several modules wrap the same component methods</x:v>
      </x:c>
      <x:c r="F8" s="6" t="str">
        <x:v>V74</x:v>
      </x:c>
      <x:c r="G8" s="6" t="str">
        <x:v>Refactor explicit lifecycle contracts with preserved regression fixtures.</x:v>
      </x:c>
      <x:c r="H8" s="6" t="str">
        <x:v>Open</x:v>
      </x:c>
    </x:row>
    <x:row r="9" ht="100" customHeight="1">
      <x:c r="A9" s="6" t="str">
        <x:v>R04</x:v>
      </x:c>
      <x:c r="B9" s="6" t="str">
        <x:v>Browser storage eviction and future generator changes</x:v>
      </x:c>
      <x:c r="C9" s="6" t="str">
        <x:v>High</x:v>
      </x:c>
      <x:c r="D9" s="6" t="str">
        <x:v>Engineering / QA</x:v>
      </x:c>
      <x:c r="E9" s="6" t="str">
        <x:v>Local storage is not cloud backup; three immutable layout identities now require ongoing fixtures</x:v>
      </x:c>
      <x:c r="F9" s="6" t="str">
        <x:v>V65,V75</x:v>
      </x:c>
      <x:c r="G9" s="6" t="str">
        <x:v>Retain the original Surestep and Returning Bell v1 fixtures; rebuild each saved layout and screen/gate state before validating positions. Do not remove v2 restore support during an art rollback.</x:v>
      </x:c>
      <x:c r="H9" s="6" t="str">
        <x:v>Open</x:v>
      </x:c>
    </x:row>
    <x:row r="10" ht="100" customHeight="1">
      <x:c r="A10" s="6" t="str">
        <x:v>R05</x:v>
      </x:c>
      <x:c r="B10" s="6" t="str">
        <x:v>Sound fatigue and simultaneous warning overload</x:v>
      </x:c>
      <x:c r="C10" s="6" t="str">
        <x:v>High</x:v>
      </x:c>
      <x:c r="D10" s="6" t="str">
        <x:v>Audio / play research</x:v>
      </x:c>
      <x:c r="E10" s="6" t="str">
        <x:v>Algorithmic limits cannot replace listening sessions</x:v>
      </x:c>
      <x:c r="F10" s="6" t="str">
        <x:v>V58</x:v>
      </x:c>
      <x:c r="G10" s="6" t="str">
        <x:v>Notification density settings plus 30-minute listening feedback.</x:v>
      </x:c>
      <x:c r="H10" s="6" t="str">
        <x:v>Open</x:v>
      </x:c>
    </x:row>
    <x:row r="11" ht="100" customHeight="1">
      <x:c r="A11" s="6" t="str">
        <x:v>R06</x:v>
      </x:c>
      <x:c r="B11" s="6" t="str">
        <x:v>Character asset and animation production capacity</x:v>
      </x:c>
      <x:c r="C11" s="6" t="str">
        <x:v>High</x:v>
      </x:c>
      <x:c r="D11" s="6" t="str">
        <x:v>Art production</x:v>
      </x:c>
      <x:c r="E11" s="6" t="str">
        <x:v>Finished consistent rigged assets are incomplete</x:v>
      </x:c>
      <x:c r="F11" s="6" t="str">
        <x:v>V54,V55</x:v>
      </x:c>
      <x:c r="G11" s="6" t="str">
        <x:v>Define one vertical-slice asset budget and provenance pipeline.</x:v>
      </x:c>
      <x:c r="H11" s="6" t="str">
        <x:v>Open</x:v>
      </x:c>
    </x:row>
    <x:row r="12" ht="145" customHeight="1">
      <x:c r="A12" s="6" t="str">
        <x:v>R07</x:v>
      </x:c>
      <x:c r="B12" s="6" t="str">
        <x:v>Roadmap drift after releases</x:v>
      </x:c>
      <x:c r="C12" s="6" t="str">
        <x:v>Medium</x:v>
      </x:c>
      <x:c r="D12" s="6" t="str">
        <x:v>Production</x:v>
      </x:c>
      <x:c r="E12" s="6" t="str">
        <x:v>At audit: Tidelight 0.12.0 shipped while roadmap/workbook remained 0.11.0; archived full-model run had one version failure.</x:v>
      </x:c>
      <x:c r="F12" s="6" t="str">
        <x:v>V48</x:v>
      </x:c>
      <x:c r="G12" s="6" t="str">
        <x:v>Synchronize canonical plan, workbook and resume docs together; run version/digest tests before publication and preserve the historical failure.</x:v>
      </x:c>
      <x:c r="H12" s="6" t="str">
        <x:v>Open / repair requires release discipline</x:v>
      </x:c>
    </x:row>
    <x:row r="13" ht="100" customHeight="1">
      <x:c r="A13" s="6" t="str">
        <x:v>R08</x:v>
      </x:c>
      <x:c r="B13" s="6" t="str">
        <x:v>Simultaneous-tab races or manual local tampering</x:v>
      </x:c>
      <x:c r="C13" s="6" t="str">
        <x:v>Medium</x:v>
      </x:c>
      <x:c r="D13" s="6" t="str">
        <x:v>Engineering</x:v>
      </x:c>
      <x:c r="E13" s="6" t="str">
        <x:v>Local optimistic checks are not server locks or anti-cheat</x:v>
      </x:c>
      <x:c r="F13" s="6" t="str">
        <x:v>V47,V65</x:v>
      </x:c>
      <x:c r="G13" s="6" t="str">
        <x:v>Pause stale tabs and document local-only integrity; do not claim secure competitive scores.</x:v>
      </x:c>
      <x:c r="H13" s="6" t="str">
        <x:v>Open</x:v>
      </x:c>
    </x:row>
    <x:row r="14" ht="100" customHeight="1">
      <x:c r="A14" s="6" t="str">
        <x:v>R09</x:v>
      </x:c>
      <x:c r="B14" s="6" t="str">
        <x:v>External services create unplanned data and cost obligations</x:v>
      </x:c>
      <x:c r="C14" s="6" t="str">
        <x:v>Medium</x:v>
      </x:c>
      <x:c r="D14" s="6" t="str">
        <x:v>Production</x:v>
      </x:c>
      <x:c r="E14" s="6" t="str">
        <x:v>Accounts/telemetry are outside current scope</x:v>
      </x:c>
      <x:c r="F14" s="6" t="str">
        <x:v>V17,V72</x:v>
      </x:c>
      <x:c r="G14" s="6" t="str">
        <x:v>Keep deferred pending explicit product design and authorization.</x:v>
      </x:c>
      <x:c r="H14" s="6" t="str">
        <x:v>Deferred</x:v>
      </x:c>
    </x:row>
    <x:row r="15" ht="100" customHeight="1">
      <x:c r="A15" s="6" t="str">
        <x:v>R10</x:v>
      </x:c>
      <x:c r="B15" s="6" t="str">
        <x:v>Unsupported claim of AAA completion</x:v>
      </x:c>
      <x:c r="C15" s="6" t="str">
        <x:v>High</x:v>
      </x:c>
      <x:c r="D15" s="6" t="str">
        <x:v>Production</x:v>
      </x:c>
      <x:c r="E15" s="6" t="str">
        <x:v>No budget, staffing or hardware/human finish criteria have been certified</x:v>
      </x:c>
      <x:c r="F15" s="6" t="str">
        <x:v>V48,V73</x:v>
      </x:c>
      <x:c r="G15" s="6" t="str">
        <x:v>Track concrete quality gates; never turn completed task count into an AAA rating.</x:v>
      </x:c>
      <x:c r="H15" s="6" t="str">
        <x:v>Open</x:v>
      </x:c>
    </x:row>
    <x:row r="16" ht="150" customHeight="1">
      <x:c r="A16" s="6" t="str">
        <x:v>R11</x:v>
      </x:c>
      <x:c r="B16" s="6" t="str">
        <x:v>Interrupted draft mistaken for published features</x:v>
      </x:c>
      <x:c r="C16" s="6" t="str">
        <x:v>High</x:v>
      </x:c>
      <x:c r="D16" s="6" t="str">
        <x:v>Production / engineering</x:v>
      </x:c>
      <x:c r="E16" s="6" t="str">
        <x:v>The larger water draft described seven surfaces, named extra areas, basin refraction, reflections and sounds absent from current Tidelight source.</x:v>
      </x:c>
      <x:c r="F16" s="6" t="str">
        <x:v>V35,V58,V68</x:v>
      </x:c>
      <x:c r="G16" s="6" t="str">
        <x:v>Inspect current source first; preserve draft intent as future work and do not replay opaque transfer chunks over master.</x:v>
      </x:c>
      <x:c r="H16" s="6" t="str">
        <x:v>Open</x:v>
      </x:c>
    </x:row>
    <x:row r="17" ht="150" customHeight="1">
      <x:c r="A17" s="47" t="str">
        <x:v>R12</x:v>
      </x:c>
      <x:c r="B17" s="47" t="str">
        <x:v>Water policy/lifecycle implementation differs from its intent</x:v>
      </x:c>
      <x:c r="C17" s="47" t="str">
        <x:v>High</x:v>
      </x:c>
      <x:c r="D17" s="47" t="str">
        <x:v>Engineering / technical art</x:v>
      </x:c>
      <x:c r="E17" s="47" t="str">
        <x:v>Ripple-cap, world-clock reset, footprint and height checks need dedicated tests; water controls missing from XR list.</x:v>
      </x:c>
      <x:c r="F17" s="47" t="str">
        <x:v>V38,V41,V66,V74</x:v>
      </x:c>
      <x:c r="G17" s="47" t="str">
        <x:v>Reproduce each finding and add small save-safe fixes with real-frame and controller evidence.</x:v>
      </x:c>
      <x:c r="H17" s="47" t="str">
        <x:v>Open</x:v>
      </x:c>
    </x:row>
  </x:sheetData>
  <x:mergeCells>
    <x:mergeCell ref="A1:H2"/>
    <x:mergeCell ref="A3:H3"/>
  </x:mergeCells>
  <x:conditionalFormatting sqref="C6:C15">
    <x:cfRule type="expression" dxfId="5" priority="1">
      <x:formula>C6="High"</x:formula>
    </x:cfRule>
  </x:conditionalFormatting>
  <x:dataValidations count="1">
    <x:dataValidation type="list" sqref="C6:C15">
      <x:formula1>"High,Medium,Low"</x:formula1>
    </x:dataValidation>
  </x:dataValidations>
  <x:pageMargins left="0.7" right="0.7" top="0.75" bottom="0.75" header="0.3" footer="0.3"/>
  <x:tableParts count="1">
    <x:tablePart xmlns:r="http://schemas.openxmlformats.org/officeDocument/2006/relationships" r:id="R732fc0fbe20745ae"/>
  </x:tableParts>
</x:worksheet>
</file>