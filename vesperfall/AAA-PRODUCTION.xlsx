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7bfccc306545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d6885be96804f48"/>
    <x:sheet xmlns:r="http://schemas.openxmlformats.org/officeDocument/2006/relationships" name="Backlog" sheetId="2" r:id="R082cd50e961f428b"/>
    <x:sheet xmlns:r="http://schemas.openxmlformats.org/officeDocument/2006/relationships" name="Milestones" sheetId="3" r:id="Ra681cf1889c64316"/>
    <x:sheet xmlns:r="http://schemas.openxmlformats.org/officeDocument/2006/relationships" name="Device QA" sheetId="4" r:id="Rf69a3bbb99bb462a"/>
    <x:sheet xmlns:r="http://schemas.openxmlformats.org/officeDocument/2006/relationships" name="Release Gates" sheetId="5" r:id="R6784a3c53166430d"/>
    <x:sheet xmlns:r="http://schemas.openxmlformats.org/officeDocument/2006/relationships" name="Risk Register" sheetId="6" r:id="R5f77ef7909194d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1"/>
      <x:color rgb="FF203441"/>
      <x:name val="Calibri"/>
    </x:font>
    <x:font>
      <x:b/>
      <x:sz val="22"/>
      <x:color rgb="FFFFFFFF"/>
      <x:name val="Calibri"/>
    </x:font>
    <x:font>
      <x:b/>
      <x:sz val="11"/>
      <x:color rgb="FFFFFFFF"/>
      <x:name val="Calibri"/>
    </x:font>
    <x:font>
      <x:b/>
      <x:sz val="23"/>
      <x:color rgb="FFFFFFFF"/>
      <x:name val="Calibri"/>
    </x:font>
    <x:font>
      <x:b/>
      <x:sz val="30"/>
      <x:color rgb="FF203441"/>
      <x:name val="Calibri"/>
    </x:font>
    <x:font>
      <x:b/>
      <x:sz val="11"/>
      <x:color rgb="FF7D5928"/>
      <x:name val="Calibri"/>
    </x:font>
    <x:font>
      <x:sz val="9"/>
      <x:color rgb="FF203441"/>
      <x:name val="Calibri"/>
    </x:font>
    <x:font>
      <x:sz val="11"/>
      <x:color rgb="FF176B68"/>
      <x:name val="Calibri"/>
    </x:font>
    <x:font>
      <x:b/>
      <x:sz val="11"/>
      <x:color rgb="FFFFFFFF"/>
      <x:name val="Carlito"/>
    </x:font>
    <x:font>
      <x:sz val="11"/>
      <x:color rgb="FF243B4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2630"/>
      </x:patternFill>
    </x:fill>
    <x:fill>
      <x:patternFill patternType="solid">
        <x:fgColor rgb="FFF1F5F4"/>
      </x:patternFill>
    </x:fill>
    <x:fill>
      <x:patternFill patternType="solid">
        <x:fgColor rgb="FF176F68"/>
      </x:patternFill>
    </x:fill>
    <x:fill>
      <x:patternFill patternType="solid">
        <x:fgColor rgb="FF176B68"/>
      </x:patternFill>
    </x:fill>
    <x:fill>
      <x:patternFill patternType="solid">
        <x:fgColor rgb="FFEFF4F4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1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>
          <x:bgColor rgb="FFDDEF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CE6D8"/>
        </x:patternFill>
      </x:fill>
    </x:dxf>
    <x:dxf>
      <x:fill>
        <x:patternFill>
          <x:bgColor rgb="FFEDF1F5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91c78c550345b7" /><Relationship Type="http://schemas.openxmlformats.org/officeDocument/2006/relationships/theme" Target="/xl/theme/theme1.xml" Id="R5b9503bae61e47b9" /><Relationship Type="http://schemas.openxmlformats.org/officeDocument/2006/relationships/sharedStrings" Target="/xl/sharedStrings.xml" Id="R5e0c4c363a2b4749" /><Relationship Type="http://schemas.openxmlformats.org/officeDocument/2006/relationships/worksheet" Target="/xl/worksheets/sheet1.xml" Id="Rdd6885be96804f48" /><Relationship Type="http://schemas.openxmlformats.org/officeDocument/2006/relationships/worksheet" Target="/xl/worksheets/sheet2.xml" Id="R082cd50e961f428b" /><Relationship Type="http://schemas.openxmlformats.org/officeDocument/2006/relationships/worksheet" Target="/xl/worksheets/sheet3.xml" Id="Ra681cf1889c64316" /><Relationship Type="http://schemas.openxmlformats.org/officeDocument/2006/relationships/worksheet" Target="/xl/worksheets/sheet4.xml" Id="Rf69a3bbb99bb462a" /><Relationship Type="http://schemas.openxmlformats.org/officeDocument/2006/relationships/worksheet" Target="/xl/worksheets/sheet5.xml" Id="R6784a3c53166430d" /><Relationship Type="http://schemas.openxmlformats.org/officeDocument/2006/relationships/worksheet" Target="/xl/worksheets/sheet6.xml" Id="R5f77ef7909194d03" /></Relationships>
</file>

<file path=xl/tables/table1.xml><?xml version="1.0" encoding="utf-8"?>
<x:table xmlns:x="http://schemas.openxmlformats.org/spreadsheetml/2006/main" id="1" name="ProductionBacklog" displayName="ProductionBacklog" ref="A5:N81" headerRowCount="1" totalsRowCount="0" totalsRowShown="0">
  <x:tableColumns count="14">
    <x:tableColumn id="1" name="ID"/>
    <x:tableColumn id="2" name="Task / deliverable"/>
    <x:tableColumn id="3" name="Status"/>
    <x:tableColumn id="4" name="Priority"/>
    <x:tableColumn id="5" name="Milestone"/>
    <x:tableColumn id="6" name="Discipline"/>
    <x:tableColumn id="7" name="Owner role"/>
    <x:tableColumn id="8" name="Depends on"/>
    <x:tableColumn id="9" name="Why this matters"/>
    <x:tableColumn id="10" name="Acceptance gate"/>
    <x:tableColumn id="11" name="Evidence / verification level"/>
    <x:tableColumn id="12" name="Local source evidence"/>
    <x:tableColumn id="13" name="Release"/>
    <x:tableColumn id="14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ionMilestones" displayName="ProductionMilestones" ref="A5:H12" headerRowCount="1" totalsRowCount="0" totalsRowShown="0">
  <x:tableColumns count="8">
    <x:tableColumn id="1" name="ID"/>
    <x:tableColumn id="2" name="Milestone"/>
    <x:tableColumn id="3" name="Status"/>
    <x:tableColumn id="4" name="Prerequisites"/>
    <x:tableColumn id="5" name="Goal"/>
    <x:tableColumn id="6" name="Exit gate"/>
    <x:tableColumn id="7" name="Tasks"/>
    <x:tableColumn id="8" name="Implemented tas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5:J17" headerRowCount="1" totalsRowCount="0" totalsRowShown="0">
  <x:tableColumns count="10">
    <x:tableColumn id="1" name="ID"/>
    <x:tableColumn id="2" name="Device / mode"/>
    <x:tableColumn id="3" name="Configuration"/>
    <x:tableColumn id="4" name="Scenario / acceptance target"/>
    <x:tableColumn id="5" name="Task references"/>
    <x:tableColumn id="6" name="Current evidence"/>
    <x:tableColumn id="7" name="Recording instructions"/>
    <x:tableColumn id="8" name="Build hash / version"/>
    <x:tableColumn id="9" name="Test date"/>
    <x:tableColumn id="10" name="Tester /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GateMatrix" displayName="ReleaseGateMatrix" ref="A5:H15" headerRowCount="1" totalsRowCount="0" totalsRowShown="0">
  <x:tableColumns count="8">
    <x:tableColumn id="1" name="ID"/>
    <x:tableColumn id="2" name="Gate"/>
    <x:tableColumn id="3" name="Owner role"/>
    <x:tableColumn id="4" name="Acceptance criterion"/>
    <x:tableColumn id="5" name="Evidence path"/>
    <x:tableColumn id="6" name="When required"/>
    <x:tableColumn id="7" name="Gate category"/>
    <x:tableColumn id="8" name="Result / evidence receip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ductionRisks" displayName="ProductionRisks" ref="A5:H17" headerRowCount="1" totalsRowCount="0" totalsRowShown="0">
  <x:tableColumns count="8">
    <x:tableColumn id="1" name="ID"/>
    <x:tableColumn id="2" name="Risk"/>
    <x:tableColumn id="3" name="Severity"/>
    <x:tableColumn id="4" name="Owner role"/>
    <x:tableColumn id="5" name="Trigger / evidence gap"/>
    <x:tableColumn id="6" name="Task references"/>
    <x:tableColumn id="7" name="Mitigation / next action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469a0f7e5c48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c2a63471cca4f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24be00c2b374b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8444541fd6446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643fc5ebe3d4a56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4" customHeight="1">
      <x:c r="A1" s="24" t="str">
        <x:v>VESPERFALL / THE ROAD TO A FINISHED WORLD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4"/>
      <x:c r="B2" s="24"/>
      <x:c r="C2" s="24"/>
      <x:c r="D2" s="24"/>
      <x:c r="E2" s="24"/>
      <x:c r="F2" s="24"/>
      <x:c r="G2" s="24"/>
      <x:c r="H2" s="24"/>
    </x:row>
    <x:row r="3" ht="24" customHeight="1">
      <x:c r="A3" s="12" t="str">
        <x:v>v0.13.0 / Surestep / 2026-09-14. Fast Xbox arrow selection, Quest water settings and tracked-hand menus, and procedural humanoid foot planting. Existing save formats and simulation remain unchanged.</x:v>
      </x:c>
      <x:c r="B3" s="12"/>
      <x:c r="C3" s="12"/>
      <x:c r="D3" s="12"/>
      <x:c r="E3" s="12"/>
      <x:c r="F3" s="12"/>
      <x:c r="G3" s="12"/>
      <x:c r="H3" s="12"/>
    </x:row>
    <x:row r="4" ht="24" customHeight="1">
      <x:c r="A4" s="12"/>
      <x:c r="B4" s="12"/>
      <x:c r="C4" s="12"/>
      <x:c r="D4" s="12"/>
      <x:c r="E4" s="12"/>
      <x:c r="F4" s="12"/>
      <x:c r="G4" s="12"/>
      <x:c r="H4" s="12"/>
    </x:row>
    <x:row r="5" ht="24" customHeight="1">
      <x:c r="A5" s="6"/>
      <x:c r="B5" s="6"/>
      <x:c r="C5" s="6"/>
      <x:c r="D5" s="6"/>
      <x:c r="E5" s="6"/>
      <x:c r="F5" s="6"/>
      <x:c r="G5" s="6"/>
      <x:c r="H5" s="6"/>
    </x:row>
    <x:row r="6" ht="25" customHeight="1">
      <x:c r="A6" s="15" t="str">
        <x:v>Tracked tasks</x:v>
      </x:c>
      <x:c r="B6" s="15"/>
      <x:c r="C6" s="15" t="str">
        <x:v>Software implemented</x:v>
      </x:c>
      <x:c r="D6" s="15"/>
      <x:c r="E6" s="15" t="str">
        <x:v>Physical gates open</x:v>
      </x:c>
      <x:c r="F6" s="15"/>
      <x:c r="G6" s="15" t="str">
        <x:v>Milestones</x:v>
      </x:c>
      <x:c r="H6" s="15"/>
    </x:row>
    <x:row r="7" ht="24" customHeight="1">
      <x:c r="A7" s="28" t="n">
        <x:f>COUNTA(Backlog!A6:A81)</x:f>
        <x:v>76</x:v>
      </x:c>
      <x:c r="B7" s="28"/>
      <x:c r="C7" s="28" t="n">
        <x:f>COUNTIF(Backlog!C6:C81,"Implemented")</x:f>
        <x:v>34</x:v>
      </x:c>
      <x:c r="D7" s="28"/>
      <x:c r="E7" s="28" t="n">
        <x:f>COUNTIF(Backlog!C6:C81,"Hardware QA")</x:f>
        <x:v>8</x:v>
      </x:c>
      <x:c r="F7" s="28"/>
      <x:c r="G7" s="28" t="n">
        <x:f>COUNTA(Milestones!A6:A12)</x:f>
        <x:v>7</x:v>
      </x:c>
      <x:c r="H7" s="28"/>
    </x:row>
    <x:row r="8" ht="24" customHeight="1">
      <x:c r="A8" s="28"/>
      <x:c r="B8" s="28"/>
      <x:c r="C8" s="28"/>
      <x:c r="D8" s="28"/>
      <x:c r="E8" s="28"/>
      <x:c r="F8" s="28"/>
      <x:c r="G8" s="28"/>
      <x:c r="H8" s="28"/>
    </x:row>
    <x:row r="9" ht="24" customHeight="1">
      <x:c r="A9" s="6"/>
      <x:c r="B9" s="6"/>
      <x:c r="C9" s="6"/>
      <x:c r="D9" s="6"/>
      <x:c r="E9" s="6"/>
      <x:c r="F9" s="6"/>
      <x:c r="G9" s="6"/>
      <x:c r="H9" s="6"/>
    </x:row>
    <x:row r="10" ht="28" customHeight="1">
      <x:c r="A10" s="32" t="str">
        <x:v>No AAA completion percentage is calculated. Implemented software still needs hardware and human evaluation.</x:v>
      </x:c>
      <x:c r="B10" s="32"/>
      <x:c r="C10" s="32"/>
      <x:c r="D10" s="32"/>
      <x:c r="E10" s="32"/>
      <x:c r="F10" s="32"/>
      <x:c r="G10" s="32"/>
      <x:c r="H10" s="32"/>
    </x:row>
    <x:row r="11" ht="24" customHeight="1">
      <x:c r="A11" s="6"/>
      <x:c r="B11" s="6"/>
      <x:c r="C11" s="6"/>
      <x:c r="D11" s="6"/>
      <x:c r="E11" s="6"/>
      <x:c r="F11" s="6"/>
      <x:c r="G11" s="6"/>
      <x:c r="H11" s="6"/>
    </x:row>
    <x:row r="12" ht="24" customHeight="1">
      <x:c r="A12" s="6" t="str">
        <x:v>Use Backlog to filter priorities, dependencies, owner roles and acceptance gates. Milestones explains the sequence. Device QA is a blank evidence-capture matrix, not a claim that those devices have passed.</x:v>
      </x:c>
      <x:c r="B12" s="6"/>
      <x:c r="C12" s="6"/>
      <x:c r="D12" s="6"/>
      <x:c r="E12" s="6"/>
      <x:c r="F12" s="6"/>
      <x:c r="G12" s="6"/>
      <x:c r="H12" s="6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</x:row>
    <x:row r="15" ht="24" customHeight="1">
      <x:c r="A15" s="6" t="str">
        <x:v>Surestep closes the bounded missing Quest water-settings item. Humanoid IK is a procedural foundation, not finished production art. The older basin/reflection/audio draft remains unshipped; water lifecycle findings remain open.</x:v>
      </x:c>
      <x:c r="B15" s="6"/>
      <x:c r="C15" s="6"/>
      <x:c r="D15" s="6"/>
      <x:c r="E15" s="6"/>
      <x:c r="F15" s="6"/>
      <x:c r="G15" s="6"/>
      <x:c r="H15" s="6"/>
    </x:row>
    <x:row r="16" ht="24" customHeight="1">
      <x:c r="A16" s="6"/>
      <x:c r="B16" s="6"/>
      <x:c r="C16" s="6"/>
      <x:c r="D16" s="6"/>
      <x:c r="E16" s="6"/>
      <x:c r="F16" s="6"/>
      <x:c r="G16" s="6"/>
      <x:c r="H16" s="6"/>
    </x:row>
    <x:row r="17" ht="24" customHeight="1">
      <x:c r="A17" s="6"/>
      <x:c r="B17" s="6"/>
      <x:c r="C17" s="6"/>
      <x:c r="D17" s="6"/>
      <x:c r="E17" s="6"/>
      <x:c r="F17" s="6"/>
      <x:c r="G17" s="6"/>
      <x:c r="H17" s="6"/>
    </x:row>
    <x:row r="18" ht="24" customHeight="1">
      <x:c r="A18" s="6" t="str">
        <x:v>Canonical source: roadmap.json beside the game on GitHub. The web board and Excel workbook are readable views of that plan. Browser status edits are local; workbook edits do not automatically synchronize to GitHub.</x:v>
      </x:c>
      <x:c r="B18" s="6"/>
      <x:c r="C18" s="6"/>
      <x:c r="D18" s="6"/>
      <x:c r="E18" s="6"/>
      <x:c r="F18" s="6"/>
      <x:c r="G18" s="6"/>
      <x:c r="H18" s="6"/>
    </x:row>
    <x:row r="19" ht="24" customHeight="1">
      <x:c r="A19" s="6"/>
      <x:c r="B19" s="6"/>
      <x:c r="C19" s="6"/>
      <x:c r="D19" s="6"/>
      <x:c r="E19" s="6"/>
      <x:c r="F19" s="6"/>
      <x:c r="G19" s="6"/>
      <x:c r="H19" s="6"/>
    </x:row>
    <x:row r="20" ht="24" customHeight="1">
      <x:c r="A20" s="6"/>
      <x:c r="B20" s="6"/>
      <x:c r="C20" s="6"/>
      <x:c r="D20" s="6"/>
      <x:c r="E20" s="6"/>
      <x:c r="F20" s="6"/>
      <x:c r="G20" s="6"/>
      <x:c r="H20" s="6"/>
    </x:row>
    <x:row r="21" ht="24" customHeight="1">
      <x:c r="A21" s="6" t="str">
        <x:v>Next: water lifecycle/budget hardening, the requested sound/music pass, physical controller/hand-tracking review and purposeful exploration. Broad accessibility and production-art tasks remain Partial or open.</x:v>
      </x:c>
      <x:c r="B21" s="6"/>
      <x:c r="C21" s="6"/>
      <x:c r="D21" s="6"/>
      <x:c r="E21" s="6"/>
      <x:c r="F21" s="6"/>
      <x:c r="G21" s="6"/>
      <x:c r="H21" s="6"/>
    </x:row>
    <x:row r="22" ht="24" customHeight="1">
      <x:c r="A22" s="6"/>
      <x:c r="B22" s="6"/>
      <x:c r="C22" s="6"/>
      <x:c r="D22" s="6"/>
      <x:c r="E22" s="6"/>
      <x:c r="F22" s="6"/>
      <x:c r="G22" s="6"/>
      <x:c r="H22" s="6"/>
    </x:row>
    <x:row r="23" ht="24" customHeight="1">
      <x:c r="A23" s="6"/>
      <x:c r="B23" s="6"/>
      <x:c r="C23" s="6"/>
      <x:c r="D23" s="6"/>
      <x:c r="E23" s="6"/>
      <x:c r="F23" s="6"/>
      <x:c r="G23" s="6"/>
      <x:c r="H23" s="6"/>
    </x:row>
    <x:row r="24" ht="24" customHeight="1">
      <x:c r="A24" s="6" t="str">
        <x:v>Surestep adds 17 deterministic tests (170 total at initial local review) plus a rendered Xbox/controller/hand-joint journey. Use the exact workflow artifacts for acceptance and publication status. No physical-device or human approval is implied.</x:v>
      </x:c>
      <x:c r="B24" s="6"/>
      <x:c r="C24" s="6"/>
      <x:c r="D24" s="6"/>
      <x:c r="E24" s="6"/>
      <x:c r="F24" s="6"/>
      <x:c r="G24" s="6"/>
      <x:c r="H24" s="6"/>
    </x:row>
    <x:row r="25" ht="24" customHeight="1">
      <x:c r="A25" s="6"/>
      <x:c r="B25" s="6"/>
      <x:c r="C25" s="6"/>
      <x:c r="D25" s="6"/>
      <x:c r="E25" s="6"/>
      <x:c r="F25" s="6"/>
      <x:c r="G25" s="6"/>
      <x:c r="H25" s="6"/>
    </x:row>
    <x:row r="26" ht="24" customHeight="1">
      <x:c r="A26" s="6"/>
      <x:c r="B26" s="6"/>
      <x:c r="C26" s="6"/>
      <x:c r="D26" s="6"/>
      <x:c r="E26" s="6"/>
      <x:c r="F26" s="6"/>
      <x:c r="G26" s="6"/>
      <x:c r="H26" s="6"/>
    </x:row>
    <x:row r="27" ht="24" customHeight="1">
      <x:c r="A27" s="34" t="str">
        <x:v>Canonical JSON SHA-256: 382ce526249c7e8b10748abb72a92780f9d3c331bc77773da4c974e462640608</x:v>
      </x:c>
      <x:c r="B27" s="34"/>
      <x:c r="C27" s="34"/>
      <x:c r="D27" s="34"/>
      <x:c r="E27" s="34"/>
      <x:c r="F27" s="34"/>
      <x:c r="G27" s="34"/>
      <x:c r="H27" s="34"/>
    </x:row>
    <x:row r="28" ht="24" customHeight="1">
      <x:c r="A28" s="6"/>
      <x:c r="B28" s="6"/>
      <x:c r="C28" s="6"/>
      <x:c r="D28" s="6"/>
      <x:c r="E28" s="6"/>
      <x:c r="F28" s="6"/>
      <x:c r="G28" s="6"/>
      <x:c r="H28" s="6"/>
    </x:row>
    <x:row r="29" ht="24" customHeight="1">
      <x:c r="A29" s="36" t="str">
        <x:v>https://github.com/v5ma/v5ma.github.io/blob/master/vesperfall/roadmap.json</x:v>
      </x:c>
      <x:c r="B29" s="36"/>
      <x:c r="C29" s="36"/>
      <x:c r="D29" s="36"/>
      <x:c r="E29" s="36"/>
      <x:c r="F29" s="36"/>
      <x:c r="G29" s="36"/>
      <x:c r="H29" s="36"/>
    </x:row>
    <x:row r="30" ht="24" customHeight="1">
      <x:c r="A30" s="36" t="str">
        <x:v>https://v5ma.github.io/vesperfall/roadmap.html</x:v>
      </x:c>
      <x:c r="B30" s="36"/>
      <x:c r="C30" s="36"/>
      <x:c r="D30" s="36"/>
      <x:c r="E30" s="36"/>
      <x:c r="F30" s="36"/>
      <x:c r="G30" s="36"/>
      <x:c r="H30" s="36"/>
    </x:row>
    <x:row r="31" ht="24" customHeight="1">
      <x:c r="A31" s="36" t="str">
        <x:v>https://github.com/v5ma/v5ma.github.io/blob/master/vesperfall/DEVELOPMENT-HANDOFF.md</x:v>
      </x:c>
      <x:c r="B31" s="36"/>
      <x:c r="C31" s="36"/>
      <x:c r="D31" s="36"/>
      <x:c r="E31" s="36"/>
      <x:c r="F31" s="36"/>
      <x:c r="G31" s="36"/>
      <x:c r="H31" s="36"/>
    </x:row>
    <x:row r="32" ht="24" customHeight="1">
      <x:c r="A32" s="36" t="str">
        <x:v>https://github.com/v5ma/v5ma.github.io/blob/master/vesperfall/CONTINUATION-AUDIT.md</x:v>
      </x:c>
      <x:c r="B32" s="36"/>
      <x:c r="C32" s="36"/>
      <x:c r="D32" s="36"/>
      <x:c r="E32" s="36"/>
      <x:c r="F32" s="36"/>
      <x:c r="G32" s="36"/>
      <x:c r="H32" s="36"/>
    </x:row>
    <x:row r="33" ht="24" customHeight="1">
      <x:c r="A33" s="6"/>
      <x:c r="B33" s="6"/>
      <x:c r="C33" s="6"/>
      <x:c r="D33" s="6"/>
      <x:c r="E33" s="6"/>
      <x:c r="F33" s="6"/>
      <x:c r="G33" s="6"/>
      <x:c r="H33" s="6"/>
    </x:row>
    <x:row r="34" ht="26" customHeight="1">
      <x:c r="A34" s="38" t="str">
        <x:v>RESUME WITH THESE EXISTING TASKS</x:v>
      </x:c>
      <x:c r="B34" s="38"/>
      <x:c r="C34" s="38"/>
      <x:c r="D34" s="38"/>
      <x:c r="E34" s="38"/>
      <x:c r="F34" s="38"/>
      <x:c r="G34" s="38"/>
      <x:c r="H34" s="38"/>
    </x:row>
    <x:row r="36" ht="46" customHeight="1">
      <x:c r="A36" s="42" t="str">
        <x:v>V68 / V66: verify the actual 0.12 baseline. Do not treat a successful Pages build, a draft test count or historical Rosefire tests as Tidelight gameplay acceptance.</x:v>
      </x:c>
      <x:c r="B36" s="42"/>
      <x:c r="C36" s="42"/>
      <x:c r="D36" s="42"/>
      <x:c r="E36" s="42"/>
      <x:c r="F36" s="42"/>
      <x:c r="G36" s="42"/>
      <x:c r="H36" s="42"/>
    </x:row>
    <x:row r="37" ht="46" customHeight="1">
      <x:c r="A37" s="46" t="str">
        <x:v>V41 / V61 / V74: finish Quest water settings and verify all Xbox/Quest open, adjust, select, dismiss and recovery paths. Reproduce water footprint, height, ripple-budget and world-clock gaps.</x:v>
      </x:c>
      <x:c r="B37" s="46"/>
      <x:c r="C37" s="46"/>
      <x:c r="D37" s="46"/>
      <x:c r="E37" s="46"/>
      <x:c r="F37" s="46"/>
      <x:c r="G37" s="46"/>
      <x:c r="H37" s="46"/>
    </x:row>
    <x:row r="38" ht="46" customHeight="1">
      <x:c r="A38" s="42" t="str">
        <x:v>V58 / V44: implement water-specific sound, stronger archery/shield/enemy audio and musical transitions. Preserve independent volume buses, mute, captions and warning clarity.</x:v>
      </x:c>
      <x:c r="B38" s="42"/>
      <x:c r="C38" s="42"/>
      <x:c r="D38" s="42"/>
      <x:c r="E38" s="42"/>
      <x:c r="F38" s="42"/>
      <x:c r="G38" s="42"/>
      <x:c r="H38" s="42"/>
    </x:row>
    <x:row r="39" ht="46" customHeight="1">
      <x:c r="A39" s="46" t="str">
        <x:v>V35 / V52 / V54: pursue memorable routes, water destinations and humanoid animation; retain the existing 15 enemy archetypes, First Bell and Bellkeeper Oath.</x:v>
      </x:c>
      <x:c r="B39" s="46"/>
      <x:c r="C39" s="46"/>
      <x:c r="D39" s="46"/>
      <x:c r="E39" s="46"/>
      <x:c r="F39" s="46"/>
      <x:c r="G39" s="46"/>
      <x:c r="H39" s="46"/>
    </x:row>
    <x:row r="40" ht="46" customHeight="1">
      <x:c r="A40" s="42" t="str">
        <x:v>V38 / V59 / V62 / V75: run actual-device comfort, thermal, performance, controller and save-lifecycle checks. Proposed timing budgets are not measurements.</x:v>
      </x:c>
      <x:c r="B40" s="42"/>
      <x:c r="C40" s="42"/>
      <x:c r="D40" s="42"/>
      <x:c r="E40" s="42"/>
      <x:c r="F40" s="42"/>
      <x:c r="G40" s="42"/>
      <x:c r="H40" s="42"/>
    </x:row>
  </x:sheetData>
  <x:mergeCells>
    <x:mergeCell ref="A1:H2"/>
    <x:mergeCell ref="A3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0"/>
    <x:mergeCell ref="A12:H13"/>
    <x:mergeCell ref="A15:H16"/>
    <x:mergeCell ref="A18:H19"/>
    <x:mergeCell ref="A21:H22"/>
    <x:mergeCell ref="A24:H25"/>
    <x:mergeCell ref="A27:H27"/>
    <x:mergeCell ref="A29:H29"/>
    <x:mergeCell ref="A30:H30"/>
    <x:mergeCell ref="A31:H31"/>
    <x:mergeCell ref="A32:H32"/>
    <x:mergeCell ref="A34:H34"/>
    <x:mergeCell ref="A36:H36"/>
    <x:mergeCell ref="A37:H37"/>
    <x:mergeCell ref="A38:H38"/>
    <x:mergeCell ref="A39:H39"/>
    <x:mergeCell ref="A40:H4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9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  <x:col min="12" max="12" width="36" hidden="0" customWidth="1"/>
    <x:col min="13" max="13" width="16" hidden="0" customWidth="1"/>
    <x:col min="14" max="14" width="38" hidden="0" customWidth="1"/>
  </x:cols>
  <x:sheetData>
    <x:row r="1" ht="24" customHeight="1">
      <x:c r="A1" s="9" t="str">
        <x:v>VESPERFALL / PRODUCTION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36" customHeight="1">
      <x:c r="A3" s="12" t="str">
        <x:v>v0.12.0 / 76 preserved tasks / September 13 source audit. Partial means the expanded acceptance scope remains open.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34" customHeight="1">
      <x:c r="A5" s="15" t="str">
        <x:v>ID</x:v>
      </x:c>
      <x:c r="B5" s="15" t="str">
        <x:v>Task / deliverable</x:v>
      </x:c>
      <x:c r="C5" s="15" t="str">
        <x:v>Status</x:v>
      </x:c>
      <x:c r="D5" s="15" t="str">
        <x:v>Priority</x:v>
      </x:c>
      <x:c r="E5" s="15" t="str">
        <x:v>Milestone</x:v>
      </x:c>
      <x:c r="F5" s="15" t="str">
        <x:v>Discipline</x:v>
      </x:c>
      <x:c r="G5" s="15" t="str">
        <x:v>Owner role</x:v>
      </x:c>
      <x:c r="H5" s="15" t="str">
        <x:v>Depends on</x:v>
      </x:c>
      <x:c r="I5" s="15" t="str">
        <x:v>Why this matters</x:v>
      </x:c>
      <x:c r="J5" s="15" t="str">
        <x:v>Acceptance gate</x:v>
      </x:c>
      <x:c r="K5" s="15" t="str">
        <x:v>Evidence / verification level</x:v>
      </x:c>
      <x:c r="L5" s="15" t="str">
        <x:v>Local source evidence</x:v>
      </x:c>
      <x:c r="M5" s="15" t="str">
        <x:v>Release</x:v>
      </x:c>
      <x:c r="N5" s="15" t="str">
        <x:v>Source URL</x:v>
      </x:c>
    </x:row>
    <x:row r="6" ht="124" customHeight="1">
      <x:c r="A6" s="6" t="str">
        <x:v>V01</x:v>
      </x:c>
      <x:c r="B6" s="6" t="str">
        <x:v>Pinned A-Frame scene and same-origin assets</x:v>
      </x:c>
      <x:c r="C6" s="6" t="str">
        <x:v>Implemented</x:v>
      </x:c>
      <x:c r="D6" s="6" t="str">
        <x:v>P2</x:v>
      </x:c>
      <x:c r="E6" s="6" t="str">
        <x:v>M0</x:v>
      </x:c>
      <x:c r="F6" s="6" t="str">
        <x:v>Foundation</x:v>
      </x:c>
      <x:c r="G6" s="6" t="str">
        <x:v>Engineering / assignment pending</x:v>
      </x:c>
      <x:c r="H6" s="6" t="str">
        <x:v>None</x:v>
      </x:c>
      <x:c r="I6" s="6" t="str">
        <x:v>Start reliably without depending on remote runtime assets.</x:v>
      </x:c>
      <x:c r="J6" s="6" t="str">
        <x:v>Renderer starts and all runtime requests stay same-origin.</x:v>
      </x:c>
      <x:c r="K6" s="6" t="str">
        <x:v>Source implemented; software regression coverage. Physical acceptance is separate.</x:v>
      </x:c>
      <x:c r="L6" s="6" t="str">
        <x:v>index.html
vendor/
tests/launch.py</x:v>
      </x:c>
      <x:c r="M6" s="6" t="str">
        <x:v>Baseline through 0.6.0</x:v>
      </x:c>
      <x:c r="N6" s="6" t="str">
        <x:v>https://github.com/v5ma/v5ma.github.io/blob/master/vesperfall/index.html</x:v>
      </x:c>
    </x:row>
    <x:row r="7" ht="124" customHeight="1">
      <x:c r="A7" s="6" t="str">
        <x:v>V02</x:v>
      </x:c>
      <x:c r="B7" s="6" t="str">
        <x:v>Two-hand draw, nock and pose-loss cancellation</x:v>
      </x:c>
      <x:c r="C7" s="6" t="str">
        <x:v>Implemented</x:v>
      </x:c>
      <x:c r="D7" s="6" t="str">
        <x:v>P2</x:v>
      </x:c>
      <x:c r="E7" s="6" t="str">
        <x:v>M0</x:v>
      </x:c>
      <x:c r="F7" s="6" t="str">
        <x:v>Archery</x:v>
      </x:c>
      <x:c r="G7" s="6" t="str">
        <x:v>Gameplay / assignment pending</x:v>
      </x:c>
      <x:c r="H7" s="6" t="str">
        <x:v>None</x:v>
      </x:c>
      <x:c r="I7" s="6" t="str">
        <x:v>The shot must follow the real draw, including cancellation under tracking loss.</x:v>
      </x:c>
      <x:c r="J7" s="6" t="str">
        <x:v>Real controller poses produce direction and power; losses never fire a stale arrow.</x:v>
      </x:c>
      <x:c r="K7" s="6" t="str">
        <x:v>Source implemented; software regression coverage. Physical acceptance is separate.</x:v>
      </x:c>
      <x:c r="L7" s="6" t="str">
        <x:v>input.js
tests/core.test.cjs
tests/browser.py</x:v>
      </x:c>
      <x:c r="M7" s="6" t="str">
        <x:v>Baseline through 0.6.0</x:v>
      </x:c>
      <x:c r="N7" s="6" t="str">
        <x:v>https://github.com/v5ma/v5ma.github.io/blob/master/vesperfall/input.js</x:v>
      </x:c>
    </x:row>
    <x:row r="8" ht="124" customHeight="1">
      <x:c r="A8" s="6" t="str">
        <x:v>V03</x:v>
      </x:c>
      <x:c r="B8" s="6" t="str">
        <x:v>Swept arrows, cover and limited special ammunition</x:v>
      </x:c>
      <x:c r="C8" s="6" t="str">
        <x:v>Implemented</x:v>
      </x:c>
      <x:c r="D8" s="6" t="str">
        <x:v>P2</x:v>
      </x:c>
      <x:c r="E8" s="6" t="str">
        <x:v>M0</x:v>
      </x:c>
      <x:c r="F8" s="6" t="str">
        <x:v>Combat</x:v>
      </x:c>
      <x:c r="G8" s="6" t="str">
        <x:v>Gameplay / assignment pending</x:v>
      </x:c>
      <x:c r="H8" s="6" t="str">
        <x:v>None</x:v>
      </x:c>
      <x:c r="I8" s="6" t="str">
        <x:v>Precision is meaningful only when hits and cover are consistent.</x:v>
      </x:c>
      <x:c r="J8" s="6" t="str">
        <x:v>Hits stop at nearest geometry and ammo changes only on valid shots.</x:v>
      </x:c>
      <x:c r="K8" s="6" t="str">
        <x:v>Source implemented; software regression coverage. Physical acceptance is separate.</x:v>
      </x:c>
      <x:c r="L8" s="6" t="str">
        <x:v>core.js
tests/core.test.cjs</x:v>
      </x:c>
      <x:c r="M8" s="6" t="str">
        <x:v>Baseline through 0.6.0</x:v>
      </x:c>
      <x:c r="N8" s="6" t="str">
        <x:v>https://github.com/v5ma/v5ma.github.io/blob/master/vesperfall/core.js</x:v>
      </x:c>
    </x:row>
    <x:row r="9" ht="124" customHeight="1">
      <x:c r="A9" s="6" t="str">
        <x:v>V04</x:v>
      </x:c>
      <x:c r="B9" s="6" t="str">
        <x:v>Blink arrows and opt-in stick locomotion</x:v>
      </x:c>
      <x:c r="C9" s="6" t="str">
        <x:v>Implemented</x:v>
      </x:c>
      <x:c r="D9" s="6" t="str">
        <x:v>P2</x:v>
      </x:c>
      <x:c r="E9" s="6" t="str">
        <x:v>M0</x:v>
      </x:c>
      <x:c r="F9" s="6" t="str">
        <x:v>Traversal</x:v>
      </x:c>
      <x:c r="G9" s="6" t="str">
        <x:v>Level design / assignment pending</x:v>
      </x:c>
      <x:c r="H9" s="6" t="str">
        <x:v>None</x:v>
      </x:c>
      <x:c r="I9" s="6" t="str">
        <x:v>Preserve the established game while closing the stated acceptance gate.</x:v>
      </x:c>
      <x:c r="J9" s="6" t="str">
        <x:v>Shared projectile/preview first-hit collision; a widened upper-gallery target. A clear preview is not automatic aiming or permission to pass through solids.</x:v>
      </x:c>
      <x:c r="K9" s="6" t="str">
        <x:v>Source implemented; software regression coverage. Physical acceptance is separate.</x:v>
      </x:c>
      <x:c r="L9" s="6" t="str"/>
      <x:c r="M9" s="6" t="str">
        <x:v>Baseline through 0.6.0</x:v>
      </x:c>
      <x:c r="N9" s="6" t="str">
        <x:v>https://github.com/v5ma/v5ma.github.io/blob/master/vesperfall/roadmap.json</x:v>
      </x:c>
    </x:row>
    <x:row r="10" ht="124" customHeight="1">
      <x:c r="A10" s="6" t="str">
        <x:v>V05</x:v>
      </x:c>
      <x:c r="B10" s="6" t="str">
        <x:v>Connected seeded cloisters and branching paths</x:v>
      </x:c>
      <x:c r="C10" s="6" t="str">
        <x:v>Implemented</x:v>
      </x:c>
      <x:c r="D10" s="6" t="str">
        <x:v>P2</x:v>
      </x:c>
      <x:c r="E10" s="6" t="str">
        <x:v>M0</x:v>
      </x:c>
      <x:c r="F10" s="6" t="str">
        <x:v>World</x:v>
      </x:c>
      <x:c r="G10" s="6" t="str">
        <x:v>Level design / assignment pending</x:v>
      </x:c>
      <x:c r="H10" s="6" t="str">
        <x:v>None</x:v>
      </x:c>
      <x:c r="I10" s="6" t="str">
        <x:v>Preserve the established game while closing the stated acceptance gate.</x:v>
      </x:c>
      <x:c r="J10" s="6" t="str">
        <x:v>25 seeded districts with nonuniform plans, connected ground approaches and reversible elevated loops. Same seed/depth reproduces the layout. No streaming-world claim.</x:v>
      </x:c>
      <x:c r="K10" s="6" t="str">
        <x:v>Source implemented; software regression coverage. Physical acceptance is separate.</x:v>
      </x:c>
      <x:c r="L10" s="6" t="str">
        <x:v>dominions-world.js
tests/dominions.test.cjs</x:v>
      </x:c>
      <x:c r="M10" s="6" t="str">
        <x:v>0.7.0</x:v>
      </x:c>
      <x:c r="N10" s="6" t="str">
        <x:v>https://github.com/v5ma/v5ma.github.io/blob/master/vesperfall/dominions-world.js</x:v>
      </x:c>
    </x:row>
    <x:row r="11" ht="124" customHeight="1">
      <x:c r="A11" s="6" t="str">
        <x:v>V06</x:v>
      </x:c>
      <x:c r="B11" s="6" t="str">
        <x:v>Wardens, beacon, blessings and local renown</x:v>
      </x:c>
      <x:c r="C11" s="6" t="str">
        <x:v>Implemented</x:v>
      </x:c>
      <x:c r="D11" s="6" t="str">
        <x:v>P2</x:v>
      </x:c>
      <x:c r="E11" s="6" t="str">
        <x:v>M0</x:v>
      </x:c>
      <x:c r="F11" s="6" t="str">
        <x:v>Progression</x:v>
      </x:c>
      <x:c r="G11" s="6" t="str">
        <x:v>Engineering / assignment pending</x:v>
      </x:c>
      <x:c r="H11" s="6" t="str">
        <x:v>None</x:v>
      </x:c>
      <x:c r="I11" s="6" t="str">
        <x:v>Preserve the established game while closing the stated acceptance gate.</x:v>
      </x:c>
      <x:c r="J11" s="6" t="str">
        <x:v>An ordinary-input mission reaches the next sector; completion cannot be banked twice.</x:v>
      </x:c>
      <x:c r="K11" s="6" t="str">
        <x:v>Source implemented; software regression coverage. Physical acceptance is separate.</x:v>
      </x:c>
      <x:c r="L11" s="6" t="str">
        <x:v>chronicle.js
tests/unchained-combat.py
tests/pilgrim.test.cjs</x:v>
      </x:c>
      <x:c r="M11" s="6" t="str">
        <x:v>Baseline through 0.6.0</x:v>
      </x:c>
      <x:c r="N11" s="6" t="str">
        <x:v>https://github.com/v5ma/v5ma.github.io/blob/master/vesperfall/chronicle.js</x:v>
      </x:c>
    </x:row>
    <x:row r="12" ht="124" customHeight="1">
      <x:c r="A12" s="6" t="str">
        <x:v>V07</x:v>
      </x:c>
      <x:c r="B12" s="6" t="str">
        <x:v>Spatial pause, handedness and shorter draw</x:v>
      </x:c>
      <x:c r="C12" s="6" t="str">
        <x:v>Implemented</x:v>
      </x:c>
      <x:c r="D12" s="6" t="str">
        <x:v>P2</x:v>
      </x:c>
      <x:c r="E12" s="6" t="str">
        <x:v>M0</x:v>
      </x:c>
      <x:c r="F12" s="6" t="str">
        <x:v>Comfort</x:v>
      </x:c>
      <x:c r="G12" s="6" t="str">
        <x:v>UX / accessibility / assignment pending</x:v>
      </x:c>
      <x:c r="H12" s="6" t="str">
        <x:v>None</x:v>
      </x:c>
      <x:c r="I12" s="6" t="str">
        <x:v>Preserve the established game while closing the stated acceptance gate.</x:v>
      </x:c>
      <x:c r="J12" s="6" t="str">
        <x:v>All essential actions can be completed in-headset, with cancelled inputs on transitions.</x:v>
      </x:c>
      <x:c r="K12" s="6" t="str">
        <x:v>Source implemented; software regression coverage. Physical acceptance is separate.</x:v>
      </x:c>
      <x:c r="L12" s="6" t="str"/>
      <x:c r="M12" s="6" t="str">
        <x:v>Baseline through 0.6.0</x:v>
      </x:c>
      <x:c r="N12" s="6" t="str">
        <x:v>https://github.com/v5ma/v5ma.github.io/blob/master/vesperfall/roadmap.json</x:v>
      </x:c>
    </x:row>
    <x:row r="13" ht="124" customHeight="1">
      <x:c r="A13" s="6" t="str">
        <x:v>V08</x:v>
      </x:c>
      <x:c r="B13" s="6" t="str">
        <x:v>Quest 3 bow alignment and physical draw feel</x:v>
      </x:c>
      <x:c r="C13" s="6" t="str">
        <x:v>Hardware QA</x:v>
      </x:c>
      <x:c r="D13" s="6" t="str">
        <x:v>P0</x:v>
      </x:c>
      <x:c r="E13" s="6" t="str">
        <x:v>M4</x:v>
      </x:c>
      <x:c r="F13" s="6" t="str">
        <x:v>Hardware</x:v>
      </x:c>
      <x:c r="G13" s="6" t="str">
        <x:v>Device QA / assignment pending</x:v>
      </x:c>
      <x:c r="H13" s="6" t="str">
        <x:v>None</x:v>
      </x:c>
      <x:c r="I13" s="6" t="str">
        <x:v>A software fixture cannot tell us how a person feels or how a real device sustains the experience.</x:v>
      </x:c>
      <x:c r="J13" s="6" t="str">
        <x:v>Record actual headset/browser version and both handedness tests. No API fixture substitutes.</x:v>
      </x:c>
      <x:c r="K13" s="6" t="str">
        <x:v>No physical device receipt yet.</x:v>
      </x:c>
      <x:c r="L13" s="6" t="str"/>
      <x:c r="M13" s="6" t="str"/>
      <x:c r="N13" s="6" t="str">
        <x:v>https://github.com/v5ma/v5ma.github.io/blob/master/vesperfall/roadmap.json</x:v>
      </x:c>
    </x:row>
    <x:row r="14" ht="124" customHeight="1">
      <x:c r="A14" s="6" t="str">
        <x:v>V09</x:v>
      </x:c>
      <x:c r="B14" s="6" t="str">
        <x:v>Quest 3 sustained rendering and comfort</x:v>
      </x:c>
      <x:c r="C14" s="6" t="str">
        <x:v>Hardware QA</x:v>
      </x:c>
      <x:c r="D14" s="6" t="str">
        <x:v>P0</x:v>
      </x:c>
      <x:c r="E14" s="6" t="str">
        <x:v>M4</x:v>
      </x:c>
      <x:c r="F14" s="6" t="str">
        <x:v>Hardware</x:v>
      </x:c>
      <x:c r="G14" s="6" t="str">
        <x:v>Device QA / assignment pending</x:v>
      </x:c>
      <x:c r="H14" s="6" t="str">
        <x:v>None</x:v>
      </x:c>
      <x:c r="I14" s="6" t="str">
        <x:v>A software fixture cannot tell us how a person feels or how a real device sustains the experience.</x:v>
      </x:c>
      <x:c r="J14" s="6" t="str">
        <x:v>Measure frame-time distribution, draw calls, thermal behavior, floor and snap turning on hardware.</x:v>
      </x:c>
      <x:c r="K14" s="6" t="str">
        <x:v>No physical device receipt yet.</x:v>
      </x:c>
      <x:c r="L14" s="6" t="str"/>
      <x:c r="M14" s="6" t="str"/>
      <x:c r="N14" s="6" t="str">
        <x:v>https://github.com/v5ma/v5ma.github.io/blob/master/vesperfall/roadmap.json</x:v>
      </x:c>
    </x:row>
    <x:row r="15" ht="124" customHeight="1">
      <x:c r="A15" s="6" t="str">
        <x:v>V10</x:v>
      </x:c>
      <x:c r="B15" s="6" t="str">
        <x:v>Real Xbox and touch controllers</x:v>
      </x:c>
      <x:c r="C15" s="6" t="str">
        <x:v>Hardware QA</x:v>
      </x:c>
      <x:c r="D15" s="6" t="str">
        <x:v>P0</x:v>
      </x:c>
      <x:c r="E15" s="6" t="str">
        <x:v>M4</x:v>
      </x:c>
      <x:c r="F15" s="6" t="str">
        <x:v>Hardware</x:v>
      </x:c>
      <x:c r="G15" s="6" t="str">
        <x:v>Device QA / assignment pending</x:v>
      </x:c>
      <x:c r="H15" s="6" t="str">
        <x:v>None</x:v>
      </x:c>
      <x:c r="I15" s="6" t="str">
        <x:v>A software fixture cannot tell us how a person feels or how a real device sustains the experience.</x:v>
      </x:c>
      <x:c r="J15" s="6" t="str">
        <x:v>Pair, reconnect, suspend and resume real USB/Bluetooth controllers and a phone.</x:v>
      </x:c>
      <x:c r="K15" s="6" t="str">
        <x:v>No physical device receipt yet.</x:v>
      </x:c>
      <x:c r="L15" s="6" t="str"/>
      <x:c r="M15" s="6" t="str"/>
      <x:c r="N15" s="6" t="str">
        <x:v>https://github.com/v5ma/v5ma.github.io/blob/master/vesperfall/roadmap.json</x:v>
      </x:c>
    </x:row>
    <x:row r="16" ht="124" customHeight="1">
      <x:c r="A16" s="6" t="str">
        <x:v>V11</x:v>
      </x:c>
      <x:c r="B16" s="6" t="str">
        <x:v>Six room families, reversible skywalk and two-level belfry</x:v>
      </x:c>
      <x:c r="C16" s="6" t="str">
        <x:v>Implemented</x:v>
      </x:c>
      <x:c r="D16" s="6" t="str">
        <x:v>P2</x:v>
      </x:c>
      <x:c r="E16" s="6" t="str">
        <x:v>M0</x:v>
      </x:c>
      <x:c r="F16" s="6" t="str">
        <x:v>World</x:v>
      </x:c>
      <x:c r="G16" s="6" t="str">
        <x:v>Level design / assignment pending</x:v>
      </x:c>
      <x:c r="H16" s="6" t="str">
        <x:v>None</x:v>
      </x:c>
      <x:c r="I16" s="6" t="str">
        <x:v>Preserve the established game while closing the stated acceptance gate.</x:v>
      </x:c>
      <x:c r="J16" s="6" t="str">
        <x:v>Six inner architecture families and sixteen outer district families, reversible skywalks and playable 6.4m belfries. Geometry and routes are tested separately from human enjoyment.</x:v>
      </x:c>
      <x:c r="K16" s="6" t="str">
        <x:v>Source implemented; software regression coverage. Physical acceptance is separate.</x:v>
      </x:c>
      <x:c r="L16" s="6" t="str">
        <x:v>districts.js
dominions-world.js
tests/cathedral-browser.py</x:v>
      </x:c>
      <x:c r="M16" s="6" t="str">
        <x:v>Baseline through 0.6.0</x:v>
      </x:c>
      <x:c r="N16" s="6" t="str">
        <x:v>https://github.com/v5ma/v5ma.github.io/blob/master/vesperfall/districts.js</x:v>
      </x:c>
    </x:row>
    <x:row r="17" ht="124" customHeight="1">
      <x:c r="A17" s="6" t="str">
        <x:v>V12</x:v>
      </x:c>
      <x:c r="B17" s="6" t="str">
        <x:v>Crossbow, deliberate timed reload and independent weapon model</x:v>
      </x:c>
      <x:c r="C17" s="6" t="str">
        <x:v>Implemented</x:v>
      </x:c>
      <x:c r="D17" s="6" t="str">
        <x:v>P2</x:v>
      </x:c>
      <x:c r="E17" s="6" t="str">
        <x:v>M0</x:v>
      </x:c>
      <x:c r="F17" s="6" t="str">
        <x:v>Archery</x:v>
      </x:c>
      <x:c r="G17" s="6" t="str">
        <x:v>Gameplay / assignment pending</x:v>
      </x:c>
      <x:c r="H17" s="6" t="str">
        <x:v>None</x:v>
      </x:c>
      <x:c r="I17" s="6" t="str">
        <x:v>Preserve the established game while closing the stated acceptance gate.</x:v>
      </x:c>
      <x:c r="J17" s="6" t="str">
        <x:v>Loaded/empty state and timed button reload are preserved alongside the physical winding interaction. No weapon-swap refill.</x:v>
      </x:c>
      <x:c r="K17" s="6" t="str">
        <x:v>Source implemented; software regression coverage. Physical acceptance is separate.</x:v>
      </x:c>
      <x:c r="L17" s="6" t="str">
        <x:v>arsenal.js
ritual-model.js
tests/resonant.test.cjs</x:v>
      </x:c>
      <x:c r="M17" s="6" t="str">
        <x:v>0.3.0 / 0.8.0</x:v>
      </x:c>
      <x:c r="N17" s="6" t="str">
        <x:v>https://github.com/v5ma/v5ma.github.io/blob/master/vesperfall/arsenal.js</x:v>
      </x:c>
    </x:row>
    <x:row r="18" ht="124" customHeight="1">
      <x:c r="A18" s="6" t="str">
        <x:v>V13</x:v>
      </x:c>
      <x:c r="B18" s="6" t="str">
        <x:v>Shield weak points and coordinated enemy behavior</x:v>
      </x:c>
      <x:c r="C18" s="6" t="str">
        <x:v>Partial</x:v>
      </x:c>
      <x:c r="D18" s="6" t="str">
        <x:v>P1</x:v>
      </x:c>
      <x:c r="E18" s="6" t="str">
        <x:v>M2</x:v>
      </x:c>
      <x:c r="F18" s="6" t="str">
        <x:v>Combat</x:v>
      </x:c>
      <x:c r="G18" s="6" t="str">
        <x:v>Gameplay / assignment pending</x:v>
      </x:c>
      <x:c r="H18" s="6" t="str">
        <x:v>V26</x:v>
      </x:c>
      <x:c r="I18" s="6" t="str">
        <x:v>Preserve the established game while closing the stated acceptance gate.</x:v>
      </x:c>
      <x:c r="J18" s="6" t="str">
        <x:v>Directional guard and weak-point counterplay exist. Group attack coordination, fair ranged/melee overlap and offscreen threat budgets still need an encounter director.</x:v>
      </x:c>
      <x:c r="K18" s="6" t="str">
        <x:v>Individual enemies tested; encounter-direction gate remains open.</x:v>
      </x:c>
      <x:c r="L18" s="6" t="str">
        <x:v>encounters.js
bestiary.js</x:v>
      </x:c>
      <x:c r="M18" s="6" t="str"/>
      <x:c r="N18" s="6" t="str">
        <x:v>https://github.com/v5ma/v5ma.github.io/blob/master/vesperfall/encounters.js</x:v>
      </x:c>
    </x:row>
    <x:row r="19" ht="124" customHeight="1">
      <x:c r="A19" s="6" t="str">
        <x:v>V14</x:v>
      </x:c>
      <x:c r="B19" s="6" t="str">
        <x:v>Refined original creatures, bow animation and spatial audio</x:v>
      </x:c>
      <x:c r="C19" s="6" t="str">
        <x:v>Partial</x:v>
      </x:c>
      <x:c r="D19" s="6" t="str">
        <x:v>P1</x:v>
      </x:c>
      <x:c r="E19" s="6" t="str">
        <x:v>M3</x:v>
      </x:c>
      <x:c r="F19" s="6" t="str">
        <x:v>Presentation</x:v>
      </x:c>
      <x:c r="G19" s="6" t="str">
        <x:v>Art / audio</x:v>
      </x:c>
      <x:c r="H19" s="6" t="str">
        <x:v>None</x:v>
      </x:c>
      <x:c r="I19" s="6" t="str">
        <x:v>Preserve the established game while closing the stated acceptance gate.</x:v>
      </x:c>
      <x:c r="J19" s="6" t="str">
        <x:v>Spatial sound, reflective equipment and readable procedural creatures exist. Authored rigged enemy/hand assets, animation blending and polished reactions remain open.</x:v>
      </x:c>
      <x:c r="K19" s="6" t="str">
        <x:v>Surestep adds articulated procedural knees/elbows, distance-driven steps and world-space foot planting for the 12 outer humanoid archetypes. Fixed-length IK and reset/freeze cases have model coverage. Authored production meshes, mocap/blending, hit reactions and human art review remain open.</x:v>
      </x:c>
      <x:c r="L19" s="6" t="str">
        <x:v>resonance-audio.js
dominion-art.js
surestep-art.js
surestep-model.js
tests/surestep.test.cjs
SURESTEP.md</x:v>
      </x:c>
      <x:c r="M19" s="6" t="str"/>
      <x:c r="N19" s="6" t="str">
        <x:v>https://github.com/v5ma/v5ma.github.io/blob/master/vesperfall/resonance-audio.js</x:v>
      </x:c>
    </x:row>
    <x:row r="20" ht="124" customHeight="1">
      <x:c r="A20" s="6" t="str">
        <x:v>V15</x:v>
      </x:c>
      <x:c r="B20" s="6" t="str">
        <x:v>Pilgrim's Rest: save and continue a complete scored expedition</x:v>
      </x:c>
      <x:c r="C20" s="6" t="str">
        <x:v>Implemented</x:v>
      </x:c>
      <x:c r="D20" s="6" t="str">
        <x:v>P0</x:v>
      </x:c>
      <x:c r="E20" s="6" t="str">
        <x:v>M1</x:v>
      </x:c>
      <x:c r="F20" s="6" t="str">
        <x:v>Progression</x:v>
      </x:c>
      <x:c r="G20" s="6" t="str">
        <x:v>Engineering / assignment pending</x:v>
      </x:c>
      <x:c r="H20" s="6" t="str">
        <x:v>V06, V21</x:v>
      </x:c>
      <x:c r="I20" s="6" t="str">
        <x:v>Long exploration needs interruption-safe continuity, not just permanent unlocks.</x:v>
      </x:c>
      <x:c r="J20" s="6" t="str">
        <x:v>Regenerate the exact world; restore enemies, supplies, projectiles, equipment and timers; preserve banked receipts in one bounded envelope. Continue waits paused. Practice/AR cannot overwrite scored saves.</x:v>
      </x:c>
      <x:c r="K20" s="6" t="str">
        <x:v>Model and native browser/controller release gates; physical lifecycle QA remains open.</x:v>
      </x:c>
      <x:c r="L20" s="6" t="str">
        <x:v>pilgrim-save.js
pilgrim-rest.js
tests/pilgrim.test.cjs
tests/pilgrim-browser.py</x:v>
      </x:c>
      <x:c r="M20" s="6" t="str">
        <x:v>0.9.0</x:v>
      </x:c>
      <x:c r="N20" s="6" t="str">
        <x:v>https://github.com/v5ma/v5ma.github.io/blob/master/vesperfall/pilgrim-save.js</x:v>
      </x:c>
    </x:row>
    <x:row r="21" ht="124" customHeight="1">
      <x:c r="A21" s="6" t="str">
        <x:v>V16</x:v>
      </x:c>
      <x:c r="B21" s="6" t="str">
        <x:v>Player evaluation of difficulty and enjoyment</x:v>
      </x:c>
      <x:c r="C21" s="6" t="str">
        <x:v>Planned</x:v>
      </x:c>
      <x:c r="D21" s="6" t="str">
        <x:v>P1</x:v>
      </x:c>
      <x:c r="E21" s="6" t="str">
        <x:v>M5</x:v>
      </x:c>
      <x:c r="F21" s="6" t="str">
        <x:v>Testing</x:v>
      </x:c>
      <x:c r="G21" s="6" t="str">
        <x:v>QA / play research / assignment pending</x:v>
      </x:c>
      <x:c r="H21" s="6" t="str">
        <x:v>None</x:v>
      </x:c>
      <x:c r="I21" s="6" t="str">
        <x:v>A software fixture cannot tell us how a person feels or how a real device sustains the experience.</x:v>
      </x:c>
      <x:c r="J21" s="6" t="str">
        <x:v>Record first-run usability, fatigue and repeat-play feedback; counts do not certify fun.</x:v>
      </x:c>
      <x:c r="K21" s="6" t="str">
        <x:v>Not closed.</x:v>
      </x:c>
      <x:c r="L21" s="6" t="str"/>
      <x:c r="M21" s="6" t="str"/>
      <x:c r="N21" s="6" t="str">
        <x:v>https://github.com/v5ma/v5ma.github.io/blob/master/vesperfall/roadmap.json</x:v>
      </x:c>
    </x:row>
    <x:row r="22" ht="124" customHeight="1">
      <x:c r="A22" s="6" t="str">
        <x:v>V17</x:v>
      </x:c>
      <x:c r="B22" s="6" t="str">
        <x:v>Optional opt-in challenge sharing</x:v>
      </x:c>
      <x:c r="C22" s="6" t="str">
        <x:v>Deferred</x:v>
      </x:c>
      <x:c r="D22" s="6" t="str">
        <x:v>P1</x:v>
      </x:c>
      <x:c r="E22" s="6" t="str">
        <x:v>M6</x:v>
      </x:c>
      <x:c r="F22" s="6" t="str">
        <x:v>Online</x:v>
      </x:c>
      <x:c r="G22" s="6" t="str">
        <x:v>Online engineering / assignment pending</x:v>
      </x:c>
      <x:c r="H22" s="6" t="str">
        <x:v>None</x:v>
      </x:c>
      <x:c r="I22" s="6" t="str">
        <x:v>Preserve the established game while closing the stated acceptance gate.</x:v>
      </x:c>
      <x:c r="J22" s="6" t="str">
        <x:v>No accounts or remote data until explicitly designed and authorized.</x:v>
      </x:c>
      <x:c r="K22" s="6" t="str">
        <x:v>Not closed.</x:v>
      </x:c>
      <x:c r="L22" s="6" t="str"/>
      <x:c r="M22" s="6" t="str"/>
      <x:c r="N22" s="6" t="str">
        <x:v>https://github.com/v5ma/v5ma.github.io/blob/master/vesperfall/roadmap.json</x:v>
      </x:c>
    </x:row>
    <x:row r="23" ht="124" customHeight="1">
      <x:c r="A23" s="6" t="str">
        <x:v>V18</x:v>
      </x:c>
      <x:c r="B23" s="6" t="str">
        <x:v>Directional Wardglass shield, break and recovery</x:v>
      </x:c>
      <x:c r="C23" s="6" t="str">
        <x:v>Implemented</x:v>
      </x:c>
      <x:c r="D23" s="6" t="str">
        <x:v>P2</x:v>
      </x:c>
      <x:c r="E23" s="6" t="str">
        <x:v>M0</x:v>
      </x:c>
      <x:c r="F23" s="6" t="str">
        <x:v>Combat</x:v>
      </x:c>
      <x:c r="G23" s="6" t="str">
        <x:v>Gameplay / assignment pending</x:v>
      </x:c>
      <x:c r="H23" s="6" t="str">
        <x:v>None</x:v>
      </x:c>
      <x:c r="I23" s="6" t="str">
        <x:v>Preserve the established game while closing the stated acceptance gate.</x:v>
      </x:c>
      <x:c r="J23" s="6" t="str">
        <x:v>Front-face swept blocking before body impact; side/rear exposure, guard cost, tracking cancellation and no simultaneous firing.</x:v>
      </x:c>
      <x:c r="K23" s="6" t="str">
        <x:v>Source implemented; software regression coverage. Physical acceptance is separate.</x:v>
      </x:c>
      <x:c r="L23" s="6" t="str"/>
      <x:c r="M23" s="6" t="str">
        <x:v>Baseline through 0.6.0</x:v>
      </x:c>
      <x:c r="N23" s="6" t="str">
        <x:v>https://github.com/v5ma/v5ma.github.io/blob/master/vesperfall/roadmap.json</x:v>
      </x:c>
    </x:row>
    <x:row r="24" ht="124" customHeight="1">
      <x:c r="A24" s="6" t="str">
        <x:v>V19</x:v>
      </x:c>
      <x:c r="B24" s="6" t="str">
        <x:v>Regenerating supported-ground shard steps</x:v>
      </x:c>
      <x:c r="C24" s="6" t="str">
        <x:v>Implemented</x:v>
      </x:c>
      <x:c r="D24" s="6" t="str">
        <x:v>P2</x:v>
      </x:c>
      <x:c r="E24" s="6" t="str">
        <x:v>M0</x:v>
      </x:c>
      <x:c r="F24" s="6" t="str">
        <x:v>Traversal</x:v>
      </x:c>
      <x:c r="G24" s="6" t="str">
        <x:v>Level design / assignment pending</x:v>
      </x:c>
      <x:c r="H24" s="6" t="str">
        <x:v>None</x:v>
      </x:c>
      <x:c r="I24" s="6" t="str">
        <x:v>Preserve the established game while closing the stated acceptance gate.</x:v>
      </x:c>
      <x:c r="J24" s="6" t="str">
        <x:v>Short unobstructed microdashes, no cliff crossing or tunneling. Physical thrown-shard gestures are not implemented.</x:v>
      </x:c>
      <x:c r="K24" s="6" t="str">
        <x:v>Source implemented; software regression coverage. Physical acceptance is separate.</x:v>
      </x:c>
      <x:c r="L24" s="6" t="str"/>
      <x:c r="M24" s="6" t="str">
        <x:v>Baseline through 0.6.0</x:v>
      </x:c>
      <x:c r="N24" s="6" t="str">
        <x:v>https://github.com/v5ma/v5ma.github.io/blob/master/vesperfall/roadmap.json</x:v>
      </x:c>
    </x:row>
    <x:row r="25" ht="124" customHeight="1">
      <x:c r="A25" s="6" t="str">
        <x:v>V20</x:v>
      </x:c>
      <x:c r="B25" s="6" t="str">
        <x:v>Limited three-arrow Volley and precision hits</x:v>
      </x:c>
      <x:c r="C25" s="6" t="str">
        <x:v>Implemented</x:v>
      </x:c>
      <x:c r="D25" s="6" t="str">
        <x:v>P2</x:v>
      </x:c>
      <x:c r="E25" s="6" t="str">
        <x:v>M0</x:v>
      </x:c>
      <x:c r="F25" s="6" t="str">
        <x:v>Archery</x:v>
      </x:c>
      <x:c r="G25" s="6" t="str">
        <x:v>Gameplay / assignment pending</x:v>
      </x:c>
      <x:c r="H25" s="6" t="str">
        <x:v>None</x:v>
      </x:c>
      <x:c r="I25" s="6" t="str">
        <x:v>Preserve the established game while closing the stated acceptance gate.</x:v>
      </x:c>
      <x:c r="J25" s="6" t="str">
        <x:v>Three independent projectiles consume one charge; actual weak-point hits earn counters.</x:v>
      </x:c>
      <x:c r="K25" s="6" t="str">
        <x:v>Source implemented; software regression coverage. Physical acceptance is separate.</x:v>
      </x:c>
      <x:c r="L25" s="6" t="str"/>
      <x:c r="M25" s="6" t="str">
        <x:v>Baseline through 0.6.0</x:v>
      </x:c>
      <x:c r="N25" s="6" t="str">
        <x:v>https://github.com/v5ma/v5ma.github.io/blob/master/vesperfall/roadmap.json</x:v>
      </x:c>
    </x:row>
    <x:row r="26" ht="124" customHeight="1">
      <x:c r="A26" s="6" t="str">
        <x:v>V21</x:v>
      </x:c>
      <x:c r="B26" s="6" t="str">
        <x:v>Permanent Chronicle milestones and optional Nightfall</x:v>
      </x:c>
      <x:c r="C26" s="6" t="str">
        <x:v>Implemented</x:v>
      </x:c>
      <x:c r="D26" s="6" t="str">
        <x:v>P2</x:v>
      </x:c>
      <x:c r="E26" s="6" t="str">
        <x:v>M0</x:v>
      </x:c>
      <x:c r="F26" s="6" t="str">
        <x:v>Progression</x:v>
      </x:c>
      <x:c r="G26" s="6" t="str">
        <x:v>Engineering / assignment pending</x:v>
      </x:c>
      <x:c r="H26" s="6" t="str">
        <x:v>None</x:v>
      </x:c>
      <x:c r="I26" s="6" t="str">
        <x:v>Preserve the established game while closing the stated acceptance gate.</x:v>
      </x:c>
      <x:c r="J26" s="6" t="str">
        <x:v>Idempotent run-counter banking, retained legacy purchases, no practice farming and new-run application.</x:v>
      </x:c>
      <x:c r="K26" s="6" t="str">
        <x:v>Source implemented; software regression coverage. Physical acceptance is separate.</x:v>
      </x:c>
      <x:c r="L26" s="6" t="str">
        <x:v>chronicle.js
tests/unchained-combat.py
tests/pilgrim.test.cjs</x:v>
      </x:c>
      <x:c r="M26" s="6" t="str">
        <x:v>Baseline through 0.6.0</x:v>
      </x:c>
      <x:c r="N26" s="6" t="str">
        <x:v>https://github.com/v5ma/v5ma.github.io/blob/master/vesperfall/chronicle.js</x:v>
      </x:c>
    </x:row>
    <x:row r="27" ht="124" customHeight="1">
      <x:c r="A27" s="6" t="str">
        <x:v>V22</x:v>
      </x:c>
      <x:c r="B27" s="6" t="str">
        <x:v>Twilight/daylight, original equipment and quiet synthetic ambience</x:v>
      </x:c>
      <x:c r="C27" s="6" t="str">
        <x:v>Implemented</x:v>
      </x:c>
      <x:c r="D27" s="6" t="str">
        <x:v>P2</x:v>
      </x:c>
      <x:c r="E27" s="6" t="str">
        <x:v>M0</x:v>
      </x:c>
      <x:c r="F27" s="6" t="str">
        <x:v>Presentation</x:v>
      </x:c>
      <x:c r="G27" s="6" t="str">
        <x:v>Art / audio / assignment pending</x:v>
      </x:c>
      <x:c r="H27" s="6" t="str">
        <x:v>None</x:v>
      </x:c>
      <x:c r="I27" s="6" t="str">
        <x:v>Preserve the established game while closing the stated acceptance gate.</x:v>
      </x:c>
      <x:c r="J27" s="6" t="str">
        <x:v>Twilight/daylight and original equipment remain. Five synthesized score arrangements and bounded spatial sound now replace the minimal ambience; independent mix controls and explicit mute are preserved.</x:v>
      </x:c>
      <x:c r="K27" s="6" t="str">
        <x:v>Source implemented; software regression coverage. Physical acceptance is separate.</x:v>
      </x:c>
      <x:c r="L27" s="6" t="str">
        <x:v>resonance-score.js
resonance-audio.js
tests/resonant-browser.py</x:v>
      </x:c>
      <x:c r="M27" s="6" t="str">
        <x:v>0.8.0</x:v>
      </x:c>
      <x:c r="N27" s="6" t="str">
        <x:v>https://github.com/v5ma/v5ma.github.io/blob/master/vesperfall/resonance-score.js</x:v>
      </x:c>
    </x:row>
    <x:row r="28" ht="124" customHeight="1">
      <x:c r="A28" s="6" t="str">
        <x:v>V23</x:v>
      </x:c>
      <x:c r="B28" s="6" t="str">
        <x:v>Complete scored expedition and new-device acceptance</x:v>
      </x:c>
      <x:c r="C28" s="6" t="str">
        <x:v>Partial</x:v>
      </x:c>
      <x:c r="D28" s="6" t="str">
        <x:v>P1</x:v>
      </x:c>
      <x:c r="E28" s="6" t="str">
        <x:v>M5</x:v>
      </x:c>
      <x:c r="F28" s="6" t="str">
        <x:v>Testing</x:v>
      </x:c>
      <x:c r="G28" s="6" t="str">
        <x:v>QA / play research / assignment pending</x:v>
      </x:c>
      <x:c r="H28" s="6" t="str">
        <x:v>None</x:v>
      </x:c>
      <x:c r="I28" s="6" t="str">
        <x:v>Preserve the established game while closing the stated acceptance gate.</x:v>
      </x:c>
      <x:c r="J28" s="6" t="str">
        <x:v>Ordinary-input scored expeditions, beacon blessings and persistent rewards have software coverage. Real-device reconnection, comfort, endurance and broad seed/device matrices remain open.</x:v>
      </x:c>
      <x:c r="K28" s="6" t="str">
        <x:v>Software coverage exists; physical/new-device acceptance is separate.</x:v>
      </x:c>
      <x:c r="L28" s="6" t="str">
        <x:v>tests/unchained-combat.py
tests/browser.py</x:v>
      </x:c>
      <x:c r="M28" s="6" t="str"/>
      <x:c r="N28" s="6" t="str">
        <x:v>https://github.com/v5ma/v5ma.github.io/blob/master/vesperfall/tests/unchained-combat.py</x:v>
      </x:c>
    </x:row>
    <x:row r="29" ht="124" customHeight="1">
      <x:c r="A29" s="6" t="str">
        <x:v>V24</x:v>
      </x:c>
      <x:c r="B29" s="6" t="str">
        <x:v>Physical thrown shard and richer vertical route families</x:v>
      </x:c>
      <x:c r="C29" s="6" t="str">
        <x:v>Planned</x:v>
      </x:c>
      <x:c r="D29" s="6" t="str">
        <x:v>P1</x:v>
      </x:c>
      <x:c r="E29" s="6" t="str">
        <x:v>M1</x:v>
      </x:c>
      <x:c r="F29" s="6" t="str">
        <x:v>Traversal</x:v>
      </x:c>
      <x:c r="G29" s="6" t="str">
        <x:v>Level design / assignment pending</x:v>
      </x:c>
      <x:c r="H29" s="6" t="str">
        <x:v>None</x:v>
      </x:c>
      <x:c r="I29" s="6" t="str">
        <x:v>Preserve the established game while closing the stated acceptance gate.</x:v>
      </x:c>
      <x:c r="J29" s="6" t="str">
        <x:v>Readable trajectories, safe valid landings, comfortable two-handed controls and alternative routes; no forced headset motion.</x:v>
      </x:c>
      <x:c r="K29" s="6" t="str">
        <x:v>Not closed.</x:v>
      </x:c>
      <x:c r="L29" s="6" t="str"/>
      <x:c r="M29" s="6" t="str"/>
      <x:c r="N29" s="6" t="str">
        <x:v>https://github.com/v5ma/v5ma.github.io/blob/master/vesperfall/roadmap.json</x:v>
      </x:c>
    </x:row>
    <x:row r="30" ht="124" customHeight="1">
      <x:c r="A30" s="6" t="str">
        <x:v>V25</x:v>
      </x:c>
      <x:c r="B30" s="6" t="str">
        <x:v>Physical crossbow wind/reload gesture</x:v>
      </x:c>
      <x:c r="C30" s="6" t="str">
        <x:v>Implemented</x:v>
      </x:c>
      <x:c r="D30" s="6" t="str">
        <x:v>P1</x:v>
      </x:c>
      <x:c r="E30" s="6" t="str">
        <x:v>M0</x:v>
      </x:c>
      <x:c r="F30" s="6" t="str">
        <x:v>Archery</x:v>
      </x:c>
      <x:c r="G30" s="6" t="str">
        <x:v>Gameplay / assignment pending</x:v>
      </x:c>
      <x:c r="H30" s="6" t="str">
        <x:v>V02, V12</x:v>
      </x:c>
      <x:c r="I30" s="6" t="str">
        <x:v>Preserve the established game while closing the stated acceptance gate.</x:v>
      </x:c>
      <x:c r="J30" s="6" t="str">
        <x:v>Tracked near-handle grab, backward pull and release latch the crossbow. Short-draw and stick-click alternatives remain; tracking loss cancels.</x:v>
      </x:c>
      <x:c r="K30" s="6" t="str">
        <x:v>Model and emulated-controller tests; ergonomic gate V08 remains open.</x:v>
      </x:c>
      <x:c r="L30" s="6" t="str">
        <x:v>ritual-model.js
resonance-ritual.js
tests/resonant-browser.py</x:v>
      </x:c>
      <x:c r="M30" s="6" t="str">
        <x:v>0.8.0</x:v>
      </x:c>
      <x:c r="N30" s="6" t="str">
        <x:v>https://github.com/v5ma/v5ma.github.io/blob/master/vesperfall/ritual-model.js</x:v>
      </x:c>
    </x:row>
    <x:row r="31" ht="124" customHeight="1">
      <x:c r="A31" s="6" t="str">
        <x:v>V26</x:v>
      </x:c>
      <x:c r="B31" s="6" t="str">
        <x:v>Hollow Hunt: committed cantor volleys, hound charges and sentinel guard</x:v>
      </x:c>
      <x:c r="C31" s="6" t="str">
        <x:v>Implemented</x:v>
      </x:c>
      <x:c r="D31" s="6" t="str">
        <x:v>P2</x:v>
      </x:c>
      <x:c r="E31" s="6" t="str">
        <x:v>M0</x:v>
      </x:c>
      <x:c r="F31" s="6" t="str">
        <x:v>Combat</x:v>
      </x:c>
      <x:c r="G31" s="6" t="str">
        <x:v>Gameplay / assignment pending</x:v>
      </x:c>
      <x:c r="H31" s="6" t="str">
        <x:v>None</x:v>
      </x:c>
      <x:c r="I31" s="6" t="str">
        <x:v>Preserve the established game while closing the stated acceptance gate.</x:v>
      </x:c>
      <x:c r="J31" s="6" t="str">
        <x:v>Shared physical projectiles/collision, visible warning, dodge/block/counterplay, no homing charge.</x:v>
      </x:c>
      <x:c r="K31" s="6" t="str">
        <x:v>Source implemented; software regression coverage. Physical acceptance is separate.</x:v>
      </x:c>
      <x:c r="L31" s="6" t="str"/>
      <x:c r="M31" s="6" t="str">
        <x:v>Baseline through 0.6.0</x:v>
      </x:c>
      <x:c r="N31" s="6" t="str">
        <x:v>https://github.com/v5ma/v5ma.github.io/blob/master/vesperfall/roadmap.json</x:v>
      </x:c>
    </x:row>
    <x:row r="32" ht="124" customHeight="1">
      <x:c r="A32" s="6" t="str">
        <x:v>V27</x:v>
      </x:c>
      <x:c r="B32" s="6" t="str">
        <x:v>Two optional double-stair loft loops and elevation-gated caches</x:v>
      </x:c>
      <x:c r="C32" s="6" t="str">
        <x:v>Implemented</x:v>
      </x:c>
      <x:c r="D32" s="6" t="str">
        <x:v>P2</x:v>
      </x:c>
      <x:c r="E32" s="6" t="str">
        <x:v>M0</x:v>
      </x:c>
      <x:c r="F32" s="6" t="str">
        <x:v>Traversal</x:v>
      </x:c>
      <x:c r="G32" s="6" t="str">
        <x:v>Level design / assignment pending</x:v>
      </x:c>
      <x:c r="H32" s="6" t="str">
        <x:v>None</x:v>
      </x:c>
      <x:c r="I32" s="6" t="str">
        <x:v>Preserve the established game while closing the stated acceptance gate.</x:v>
      </x:c>
      <x:c r="J32" s="6" t="str">
        <x:v>Preserve ground graph links; walk both stairways and collect upper supply only at its elevation.</x:v>
      </x:c>
      <x:c r="K32" s="6" t="str">
        <x:v>Source implemented; software regression coverage. Physical acceptance is separate.</x:v>
      </x:c>
      <x:c r="L32" s="6" t="str"/>
      <x:c r="M32" s="6" t="str">
        <x:v>Baseline through 0.6.0</x:v>
      </x:c>
      <x:c r="N32" s="6" t="str">
        <x:v>https://github.com/v5ma/v5ma.github.io/blob/master/vesperfall/roadmap.json</x:v>
      </x:c>
    </x:row>
    <x:row r="33" ht="124" customHeight="1">
      <x:c r="A33" s="6" t="str">
        <x:v>V28</x:v>
      </x:c>
      <x:c r="B33" s="6" t="str">
        <x:v>Three repeatable adversary trials and field guide</x:v>
      </x:c>
      <x:c r="C33" s="6" t="str">
        <x:v>Implemented</x:v>
      </x:c>
      <x:c r="D33" s="6" t="str">
        <x:v>P2</x:v>
      </x:c>
      <x:c r="E33" s="6" t="str">
        <x:v>M0</x:v>
      </x:c>
      <x:c r="F33" s="6" t="str">
        <x:v>Practice</x:v>
      </x:c>
      <x:c r="G33" s="6" t="str">
        <x:v>Gameplay / UX / assignment pending</x:v>
      </x:c>
      <x:c r="H33" s="6" t="str">
        <x:v>None</x:v>
      </x:c>
      <x:c r="I33" s="6" t="str">
        <x:v>Preserve the established game while closing the stated acceptance gate.</x:v>
      </x:c>
      <x:c r="J33" s="6" t="str">
        <x:v>Ordinary menus spawn real AI. Trial counters never change the Chronicle or prior purchases.</x:v>
      </x:c>
      <x:c r="K33" s="6" t="str">
        <x:v>Source implemented; software regression coverage. Physical acceptance is separate.</x:v>
      </x:c>
      <x:c r="L33" s="6" t="str"/>
      <x:c r="M33" s="6" t="str">
        <x:v>Baseline through 0.6.0</x:v>
      </x:c>
      <x:c r="N33" s="6" t="str">
        <x:v>https://github.com/v5ma/v5ma.github.io/blob/master/vesperfall/roadmap.json</x:v>
      </x:c>
    </x:row>
    <x:row r="34" ht="124" customHeight="1">
      <x:c r="A34" s="6" t="str">
        <x:v>V29</x:v>
      </x:c>
      <x:c r="B34" s="6" t="str">
        <x:v>Surface-triggered Cinder bursts and interrupting Frost</x:v>
      </x:c>
      <x:c r="C34" s="6" t="str">
        <x:v>Implemented</x:v>
      </x:c>
      <x:c r="D34" s="6" t="str">
        <x:v>P2</x:v>
      </x:c>
      <x:c r="E34" s="6" t="str">
        <x:v>M0</x:v>
      </x:c>
      <x:c r="F34" s="6" t="str">
        <x:v>Archery</x:v>
      </x:c>
      <x:c r="G34" s="6" t="str">
        <x:v>Gameplay / assignment pending</x:v>
      </x:c>
      <x:c r="H34" s="6" t="str">
        <x:v>None</x:v>
      </x:c>
      <x:c r="I34" s="6" t="str">
        <x:v>Preserve the established game while closing the stated acceptance gate.</x:v>
      </x:c>
      <x:c r="J34" s="6" t="str">
        <x:v>Cover occludes area damage; freeze interrupts charges and has a shorter sentinel duration.</x:v>
      </x:c>
      <x:c r="K34" s="6" t="str">
        <x:v>Source implemented; software regression coverage. Physical acceptance is separate.</x:v>
      </x:c>
      <x:c r="L34" s="6" t="str"/>
      <x:c r="M34" s="6" t="str">
        <x:v>Baseline through 0.6.0</x:v>
      </x:c>
      <x:c r="N34" s="6" t="str">
        <x:v>https://github.com/v5ma/v5ma.github.io/blob/master/vesperfall/roadmap.json</x:v>
      </x:c>
    </x:row>
    <x:row r="35" ht="124" customHeight="1">
      <x:c r="A35" s="6" t="str">
        <x:v>V30</x:v>
      </x:c>
      <x:c r="B35" s="6" t="str">
        <x:v>Physical interaction follow-through: winding complete; shard throwing open</x:v>
      </x:c>
      <x:c r="C35" s="6" t="str">
        <x:v>Partial</x:v>
      </x:c>
      <x:c r="D35" s="6" t="str">
        <x:v>P1</x:v>
      </x:c>
      <x:c r="E35" s="6" t="str">
        <x:v>M2</x:v>
      </x:c>
      <x:c r="F35" s="6" t="str">
        <x:v>Future</x:v>
      </x:c>
      <x:c r="G35" s="6" t="str">
        <x:v>Gameplay / assignment pending</x:v>
      </x:c>
      <x:c r="H35" s="6" t="str">
        <x:v>V25</x:v>
      </x:c>
      <x:c r="I35" s="6" t="str">
        <x:v>Preserve the established game while closing the stated acceptance gate.</x:v>
      </x:c>
      <x:c r="J35" s="6" t="str">
        <x:v>V25 covers shipped crossbow winding. V24 still owns a physical thrown-shard implementation and real-hardware evaluation. Do not count this umbrella twice.</x:v>
      </x:c>
      <x:c r="K35" s="6" t="str">
        <x:v>Split scope; thrown shard not implemented.</x:v>
      </x:c>
      <x:c r="L35" s="6" t="str">
        <x:v>RESONANT-HUNT.md</x:v>
      </x:c>
      <x:c r="M35" s="6" t="str"/>
      <x:c r="N35" s="6" t="str">
        <x:v>https://github.com/v5ma/v5ma.github.io/blob/master/vesperfall/RESONANT-HUNT.md</x:v>
      </x:c>
    </x:row>
    <x:row r="36" ht="124" customHeight="1">
      <x:c r="A36" s="6" t="str">
        <x:v>V31</x:v>
      </x:c>
      <x:c r="B36" s="6" t="str">
        <x:v>CC0 castle masonry, cobbles and finished marble sculpture</x:v>
      </x:c>
      <x:c r="C36" s="6" t="str">
        <x:v>Implemented</x:v>
      </x:c>
      <x:c r="D36" s="6" t="str">
        <x:v>P2</x:v>
      </x:c>
      <x:c r="E36" s="6" t="str">
        <x:v>M0</x:v>
      </x:c>
      <x:c r="F36" s="6" t="str">
        <x:v>Art</x:v>
      </x:c>
      <x:c r="G36" s="6" t="str">
        <x:v>Technical art / assignment pending</x:v>
      </x:c>
      <x:c r="H36" s="6" t="str">
        <x:v>None</x:v>
      </x:c>
      <x:c r="I36" s="6" t="str">
        <x:v>Preserve the established game while closing the stated acceptance gate.</x:v>
      </x:c>
      <x:c r="J36" s="6" t="str">
        <x:v>Local 1K material maps and embedded 512px GLB textures; author/source/license/transform/hash register; no runtime CDN.</x:v>
      </x:c>
      <x:c r="K36" s="6" t="str">
        <x:v>Source implemented; software regression coverage. Physical acceptance is separate.</x:v>
      </x:c>
      <x:c r="L36" s="6" t="str"/>
      <x:c r="M36" s="6" t="str">
        <x:v>Baseline through 0.6.0</x:v>
      </x:c>
      <x:c r="N36" s="6" t="str">
        <x:v>https://github.com/v5ma/v5ma.github.io/blob/master/vesperfall/roadmap.json</x:v>
      </x:c>
    </x:row>
    <x:row r="37" ht="124" customHeight="1">
      <x:c r="A37" s="6" t="str">
        <x:v>V32</x:v>
      </x:c>
      <x:c r="B37" s="6" t="str">
        <x:v>Inter-room upper loop and 6.4m belfry reliquaries</x:v>
      </x:c>
      <x:c r="C37" s="6" t="str">
        <x:v>Implemented</x:v>
      </x:c>
      <x:c r="D37" s="6" t="str">
        <x:v>P2</x:v>
      </x:c>
      <x:c r="E37" s="6" t="str">
        <x:v>M0</x:v>
      </x:c>
      <x:c r="F37" s="6" t="str">
        <x:v>Traversal</x:v>
      </x:c>
      <x:c r="G37" s="6" t="str">
        <x:v>Level design / assignment pending</x:v>
      </x:c>
      <x:c r="H37" s="6" t="str">
        <x:v>None</x:v>
      </x:c>
      <x:c r="I37" s="6" t="str">
        <x:v>Preserve the established game while closing the stated acceptance gate.</x:v>
      </x:c>
      <x:c r="J37" s="6" t="str">
        <x:v>One-time, elevation-gated score/heal rewards, reversible traversal and ground alternatives. Trial play cannot farm permanent rewards.</x:v>
      </x:c>
      <x:c r="K37" s="6" t="str">
        <x:v>Source implemented; software regression coverage. Physical acceptance is separate.</x:v>
      </x:c>
      <x:c r="L37" s="6" t="str"/>
      <x:c r="M37" s="6" t="str">
        <x:v>Baseline through 0.6.0</x:v>
      </x:c>
      <x:c r="N37" s="6" t="str">
        <x:v>https://github.com/v5ma/v5ma.github.io/blob/master/vesperfall/roadmap.json</x:v>
      </x:c>
    </x:row>
    <x:row r="38" ht="124" customHeight="1">
      <x:c r="A38" s="6" t="str">
        <x:v>V33</x:v>
      </x:c>
      <x:c r="B38" s="6" t="str">
        <x:v>Continuous arch profiles, roof silhouettes and spatial material batches</x:v>
      </x:c>
      <x:c r="C38" s="6" t="str">
        <x:v>Implemented</x:v>
      </x:c>
      <x:c r="D38" s="6" t="str">
        <x:v>P2</x:v>
      </x:c>
      <x:c r="E38" s="6" t="str">
        <x:v>M0</x:v>
      </x:c>
      <x:c r="F38" s="6" t="str">
        <x:v>Art</x:v>
      </x:c>
      <x:c r="G38" s="6" t="str">
        <x:v>Technical art / assignment pending</x:v>
      </x:c>
      <x:c r="H38" s="6" t="str">
        <x:v>None</x:v>
      </x:c>
      <x:c r="I38" s="6" t="str">
        <x:v>Preserve the established game while closing the stated acceptance gate.</x:v>
      </x:c>
      <x:c r="J38" s="6" t="str">
        <x:v>Matching actual before/after frames; static shadows refreshed on rebuild rather than each frame. Physical Quest performance remains unmeasured.</x:v>
      </x:c>
      <x:c r="K38" s="6" t="str">
        <x:v>Source implemented; software regression coverage. Physical acceptance is separate.</x:v>
      </x:c>
      <x:c r="L38" s="6" t="str"/>
      <x:c r="M38" s="6" t="str">
        <x:v>Baseline through 0.6.0</x:v>
      </x:c>
      <x:c r="N38" s="6" t="str">
        <x:v>https://github.com/v5ma/v5ma.github.io/blob/master/vesperfall/roadmap.json</x:v>
      </x:c>
    </x:row>
    <x:row r="39" ht="124" customHeight="1">
      <x:c r="A39" s="6" t="str">
        <x:v>V34</x:v>
      </x:c>
      <x:c r="B39" s="6" t="str">
        <x:v>Scaled floorplan atlas with upper route and reward cues</x:v>
      </x:c>
      <x:c r="C39" s="6" t="str">
        <x:v>Implemented</x:v>
      </x:c>
      <x:c r="D39" s="6" t="str">
        <x:v>P2</x:v>
      </x:c>
      <x:c r="E39" s="6" t="str">
        <x:v>M0</x:v>
      </x:c>
      <x:c r="F39" s="6" t="str">
        <x:v>Navigation</x:v>
      </x:c>
      <x:c r="G39" s="6" t="str">
        <x:v>UX / level design / assignment pending</x:v>
      </x:c>
      <x:c r="H39" s="6" t="str">
        <x:v>None</x:v>
      </x:c>
      <x:c r="I39" s="6" t="str">
        <x:v>Preserve the established game while closing the stated acceptance gate.</x:v>
      </x:c>
      <x:c r="J39" s="6" t="str">
        <x:v>Use actual room outlines, gold skywalk and reliquary markers. No player steering or auto-completion.</x:v>
      </x:c>
      <x:c r="K39" s="6" t="str">
        <x:v>Source implemented; software regression coverage. Physical acceptance is separate.</x:v>
      </x:c>
      <x:c r="L39" s="6" t="str"/>
      <x:c r="M39" s="6" t="str">
        <x:v>Baseline through 0.6.0</x:v>
      </x:c>
      <x:c r="N39" s="6" t="str">
        <x:v>https://github.com/v5ma/v5ma.github.io/blob/master/vesperfall/roadmap.json</x:v>
      </x:c>
    </x:row>
    <x:row r="40" ht="120" customHeight="1">
      <x:c r="A40" s="6" t="str">
        <x:v>V35</x:v>
      </x:c>
      <x:c r="B40" s="6" t="str">
        <x:v>Authored crypt, roof and water destinations with expanded route grammar</x:v>
      </x:c>
      <x:c r="C40" s="6" t="str">
        <x:v>Partial</x:v>
      </x:c>
      <x:c r="D40" s="6" t="str">
        <x:v>P1</x:v>
      </x:c>
      <x:c r="E40" s="6" t="str">
        <x:v>M3</x:v>
      </x:c>
      <x:c r="F40" s="6" t="str">
        <x:v>World</x:v>
      </x:c>
      <x:c r="G40" s="6" t="str">
        <x:v>Level design / assignment pending</x:v>
      </x:c>
      <x:c r="H40" s="6" t="str">
        <x:v>None</x:v>
      </x:c>
      <x:c r="I40" s="6" t="str">
        <x:v>More areas should create memorable choices and reasons to explore, not repeat one room or flood every courtyard.</x:v>
      </x:c>
      <x:c r="J40" s="6" t="str">
        <x:v>Keep the existing 25-district game and reversible upper/lower routes. Add distinctive, collision-tested destinations, escape paths and discoveries. Tidelight water remains decorative until a separately designed, save-compatible traversal feature is approved.</x:v>
      </x:c>
      <x:c r="K40" s="6" t="str">
        <x:v>Partial. Tidelight 0.12.0 water exists in current source. The earlier seven-surface/four-named-district draft, recessed fonts, refracting tile basins and architecture reflections are not established by the shipped implementation.</x:v>
      </x:c>
      <x:c r="L40" s="6" t="str">
        <x:v>dominions-world.js
HOLLOW-DOMINIONS.md
TIDELIGHT.md
tidelight.js
CONTINUATION-AUDIT.md</x:v>
      </x:c>
      <x:c r="M40" s="6" t="str">
        <x:v>0.12.0 Tidelight presentation baseline; authored expansion open</x:v>
      </x:c>
      <x:c r="N40" s="6" t="str">
        <x:v>https://github.com/v5ma/v5ma.github.io/blob/master/vesperfall/dominions-world.js</x:v>
      </x:c>
    </x:row>
    <x:row r="41" ht="124" customHeight="1">
      <x:c r="A41" s="6" t="str">
        <x:v>V36</x:v>
      </x:c>
      <x:c r="B41" s="6" t="str">
        <x:v>Hardware and human review of the material-rich vertical world</x:v>
      </x:c>
      <x:c r="C41" s="6" t="str">
        <x:v>Hardware QA</x:v>
      </x:c>
      <x:c r="D41" s="6" t="str">
        <x:v>P0</x:v>
      </x:c>
      <x:c r="E41" s="6" t="str">
        <x:v>M5</x:v>
      </x:c>
      <x:c r="F41" s="6" t="str">
        <x:v>Testing</x:v>
      </x:c>
      <x:c r="G41" s="6" t="str">
        <x:v>QA / play research / assignment pending</x:v>
      </x:c>
      <x:c r="H41" s="6" t="str">
        <x:v>None</x:v>
      </x:c>
      <x:c r="I41" s="6" t="str">
        <x:v>A software fixture cannot tell us how a person feels or how a real device sustains the experience.</x:v>
      </x:c>
      <x:c r="J41" s="6" t="str">
        <x:v>Quest 3 controller/floor calibration, sustained frame times, memory, comfort and whether players find the climbs worthwhile. API emulation cannot close this gate.</x:v>
      </x:c>
      <x:c r="K41" s="6" t="str">
        <x:v>No physical device receipt yet.</x:v>
      </x:c>
      <x:c r="L41" s="6" t="str"/>
      <x:c r="M41" s="6" t="str"/>
      <x:c r="N41" s="6" t="str">
        <x:v>https://github.com/v5ma/v5ma.github.io/blob/master/vesperfall/roadmap.json</x:v>
      </x:c>
    </x:row>
    <x:row r="42" ht="124" customHeight="1">
      <x:c r="A42" s="6" t="str">
        <x:v>V37</x:v>
      </x:c>
      <x:c r="B42" s="6" t="str">
        <x:v>Jewelglass and Rosefire: reflective materials, stained light and bounded shaders</x:v>
      </x:c>
      <x:c r="C42" s="6" t="str">
        <x:v>Implemented</x:v>
      </x:c>
      <x:c r="D42" s="6" t="str">
        <x:v>P2</x:v>
      </x:c>
      <x:c r="E42" s="6" t="str">
        <x:v>M0</x:v>
      </x:c>
      <x:c r="F42" s="6" t="str">
        <x:v>Presentation</x:v>
      </x:c>
      <x:c r="G42" s="6" t="str">
        <x:v>Art / audio</x:v>
      </x:c>
      <x:c r="H42" s="6" t="str">
        <x:v>None</x:v>
      </x:c>
      <x:c r="I42" s="6" t="str">
        <x:v>Use coherent gothic light, wet stone and readable magical equipment to deepen the atmosphere without hiding combat information.</x:v>
      </x:c>
      <x:c r="J42" s="6" t="str">
        <x:v>Publish reversible original material and shader profiles with normal/AO maps preserved, visible native-frame comparisons, controller-accessible settings, reduced-motion and passthrough-safe policies; no new gameplay or save-state writes.</x:v>
      </x:c>
      <x:c r="K42" s="6" t="str">
        <x:v>Original shader extension and automated/native rendering checks are separate from physical Quest frame-time, comfort and human art acceptance.</x:v>
      </x:c>
      <x:c r="L42" s="6" t="str">
        <x:v>JEWELGLASS.md
ROSEFIRE.md
rosefire-shaders.js
rosefire.js
tests/rosefire.test.cjs
tests/rosefire-browser.py</x:v>
      </x:c>
      <x:c r="M42" s="6" t="str">
        <x:v>0.11.0 Rosefire</x:v>
      </x:c>
      <x:c r="N42" s="6" t="str">
        <x:v>https://github.com/v5ma/v5ma.github.io/blob/master/vesperfall/roadmap.json</x:v>
      </x:c>
    </x:row>
    <x:row r="43" ht="106" customHeight="1">
      <x:c r="A43" s="6" t="str">
        <x:v>V38</x:v>
      </x:c>
      <x:c r="B43" s="6" t="str">
        <x:v>Measure physical Quest 3 stereo frame times for Jewelglass, Rosefire and Tidelight</x:v>
      </x:c>
      <x:c r="C43" s="6" t="str">
        <x:v>Hardware QA</x:v>
      </x:c>
      <x:c r="D43" s="6" t="str">
        <x:v>P0</x:v>
      </x:c>
      <x:c r="E43" s="6" t="str">
        <x:v>M4</x:v>
      </x:c>
      <x:c r="F43" s="6" t="str">
        <x:v>Hardware</x:v>
      </x:c>
      <x:c r="G43" s="6" t="str">
        <x:v>Device QA / assignment pending</x:v>
      </x:c>
      <x:c r="H43" s="6" t="str">
        <x:v>None</x:v>
      </x:c>
      <x:c r="I43" s="6" t="str">
        <x:v>A software fixture cannot tell us how a person feels or how a real device sustains the experience.</x:v>
      </x:c>
      <x:c r="J43" s="6" t="str">
        <x:v>Measure both eyes, bow/ward visibility, water/caustic legibility and sustained frame times on Quest 3 in both handedness modes. Check reduced effects and AR exclusions. Do not infer hardware FPS, comfort or alignment from emulation.</x:v>
      </x:c>
      <x:c r="K43" s="6" t="str">
        <x:v>No physical device receipt yet.</x:v>
      </x:c>
      <x:c r="L43" s="6" t="str">
        <x:v>ROSEFIRE.md
TIDELIGHT.md
CONTINUATION-AUDIT.md</x:v>
      </x:c>
      <x:c r="M43" s="6" t="str"/>
      <x:c r="N43" s="6" t="str">
        <x:v>https://github.com/v5ma/v5ma.github.io/blob/master/vesperfall/ROSEFIRE.md</x:v>
      </x:c>
    </x:row>
    <x:row r="44" ht="124" customHeight="1">
      <x:c r="A44" s="6" t="str">
        <x:v>V39</x:v>
      </x:c>
      <x:c r="B44" s="6" t="str">
        <x:v>Hollow Dominions: outer districts, high walks and optional crowns</x:v>
      </x:c>
      <x:c r="C44" s="6" t="str">
        <x:v>Implemented</x:v>
      </x:c>
      <x:c r="D44" s="6" t="str">
        <x:v>P2</x:v>
      </x:c>
      <x:c r="E44" s="6" t="str">
        <x:v>M0</x:v>
      </x:c>
      <x:c r="F44" s="6" t="str">
        <x:v>World</x:v>
      </x:c>
      <x:c r="G44" s="6" t="str">
        <x:v>Level design / assignment pending</x:v>
      </x:c>
      <x:c r="H44" s="6" t="str">
        <x:v>V05</x:v>
      </x:c>
      <x:c r="I44" s="6" t="str">
        <x:v>Offer alternate approaches and worthwhile vertical exploration.</x:v>
      </x:c>
      <x:c r="J44" s="6" t="str">
        <x:v>Retain 25 districts, 16 outer galleries, additional reversible upper connections and optional exploration rewards. Core five wardens still unlock the exit.</x:v>
      </x:c>
      <x:c r="K44" s="6" t="str">
        <x:v>Software release evidence; hardware and human gates remain separate.</x:v>
      </x:c>
      <x:c r="L44" s="6" t="str">
        <x:v>dominions-world.js
tests/dominions.test.cjs</x:v>
      </x:c>
      <x:c r="M44" s="6" t="str">
        <x:v>0.7.0</x:v>
      </x:c>
      <x:c r="N44" s="6" t="str">
        <x:v>https://github.com/v5ma/v5ma.github.io/blob/master/vesperfall/dominions-world.js</x:v>
      </x:c>
    </x:row>
    <x:row r="45" ht="124" customHeight="1">
      <x:c r="A45" s="6" t="str">
        <x:v>V40</x:v>
      </x:c>
      <x:c r="B45" s="6" t="str">
        <x:v>Twelve additional enemy orders and repeatable trials</x:v>
      </x:c>
      <x:c r="C45" s="6" t="str">
        <x:v>Implemented</x:v>
      </x:c>
      <x:c r="D45" s="6" t="str">
        <x:v>P2</x:v>
      </x:c>
      <x:c r="E45" s="6" t="str">
        <x:v>M0</x:v>
      </x:c>
      <x:c r="F45" s="6" t="str">
        <x:v>Combat</x:v>
      </x:c>
      <x:c r="G45" s="6" t="str">
        <x:v>Gameplay / assignment pending</x:v>
      </x:c>
      <x:c r="H45" s="6" t="str">
        <x:v>V26</x:v>
      </x:c>
      <x:c r="I45" s="6" t="str">
        <x:v>Variety must change decisions rather than only appearance.</x:v>
      </x:c>
      <x:c r="J45" s="6" t="str">
        <x:v>Fifteen total archetypes with distinct windups, committed attacks, damage and counterplay; each added order can be practiced.</x:v>
      </x:c>
      <x:c r="K45" s="6" t="str">
        <x:v>Software release evidence; hardware and human gates remain separate.</x:v>
      </x:c>
      <x:c r="L45" s="6" t="str">
        <x:v>bestiary.js
dominion-art.js
tests/dominions.test.cjs</x:v>
      </x:c>
      <x:c r="M45" s="6" t="str">
        <x:v>0.7.0</x:v>
      </x:c>
      <x:c r="N45" s="6" t="str">
        <x:v>https://github.com/v5ma/v5ma.github.io/blob/master/vesperfall/bestiary.js</x:v>
      </x:c>
    </x:row>
    <x:row r="46" ht="134" customHeight="1">
      <x:c r="A46" s="6" t="str">
        <x:v>V41</x:v>
      </x:c>
      <x:c r="B46" s="6" t="str">
        <x:v>Xbox focus navigation and paginated Quest spatial menus</x:v>
      </x:c>
      <x:c r="C46" s="6" t="str">
        <x:v>Partial</x:v>
      </x:c>
      <x:c r="D46" s="6" t="str">
        <x:v>P0</x:v>
      </x:c>
      <x:c r="E46" s="6" t="str">
        <x:v>M0</x:v>
      </x:c>
      <x:c r="F46" s="6" t="str">
        <x:v>Comfort</x:v>
      </x:c>
      <x:c r="G46" s="6" t="str">
        <x:v>UX / accessibility</x:v>
      </x:c>
      <x:c r="H46" s="6" t="str">
        <x:v>V07</x:v>
      </x:c>
      <x:c r="I46" s="6" t="str">
        <x:v>Avoid forced mouse use or headset removal.</x:v>
      </x:c>
      <x:c r="J46" s="6" t="str">
        <x:v>Every gameplay and game-owned UI path, including water settings, confirmations, recovery, seed entry, audio and accessibility settings, is reachable and dismissible with Xbox and Quest controls without a mouse. Test both handedness modes, neutral-input transitions and return focus. Browser/system permission prompts remain platform-owned.</x:v>
      </x:c>
      <x:c r="K46" s="6" t="str">
        <x:v>Surestep implements the missing paginated Quest water settings and adds optional tracked-hand ray/pinch menu input. Xbox down selects Blink and left cycles stocked, unlocked damage arrows outside menus/quiver. Tracking loss, held-pinch acquisition and controller handover are explicit software gates in tests/surestep-browser.py. Full accessibility/remapping and physical-device approval remain open.</x:v>
      </x:c>
      <x:c r="L46" s="6" t="str">
        <x:v>dominion-controls.js
quest-hands.js
tests/surestep-browser.py
tests/dominions-browser.py
SURESTEP.md</x:v>
      </x:c>
      <x:c r="M46" s="6" t="str">
        <x:v>0.7.0</x:v>
      </x:c>
      <x:c r="N46" s="6" t="str">
        <x:v>https://github.com/v5ma/v5ma.github.io/blob/master/vesperfall/dominion-controls.js</x:v>
      </x:c>
    </x:row>
    <x:row r="47" ht="124" customHeight="1">
      <x:c r="A47" s="6" t="str">
        <x:v>V42</x:v>
      </x:c>
      <x:c r="B47" s="6" t="str">
        <x:v>Stationary passthrough AR Sanctuary and expedition restoration</x:v>
      </x:c>
      <x:c r="C47" s="6" t="str">
        <x:v>Implemented</x:v>
      </x:c>
      <x:c r="D47" s="6" t="str">
        <x:v>P1</x:v>
      </x:c>
      <x:c r="E47" s="6" t="str">
        <x:v>M0</x:v>
      </x:c>
      <x:c r="F47" s="6" t="str">
        <x:v>Comfort</x:v>
      </x:c>
      <x:c r="G47" s="6" t="str">
        <x:v>UX / accessibility / assignment pending</x:v>
      </x:c>
      <x:c r="H47" s="6" t="str">
        <x:v>V41</x:v>
      </x:c>
      <x:c r="I47" s="6" t="str">
        <x:v>Make AR an explicit supported alternative without silently pretending it is the full VR world.</x:v>
      </x:c>
      <x:c r="J47" s="6" t="str">
        <x:v>An immersive-ar session creates an unscored stationary arena, disables artificial travel and restores the paused VR/browser expedition on exit. No furniture scanning or real-world occlusion.</x:v>
      </x:c>
      <x:c r="K47" s="6" t="str">
        <x:v>Software release evidence; hardware and human gates remain separate.</x:v>
      </x:c>
      <x:c r="L47" s="6" t="str">
        <x:v>dominion-ar.js
tests/dominions-browser.py</x:v>
      </x:c>
      <x:c r="M47" s="6" t="str">
        <x:v>0.7.0</x:v>
      </x:c>
      <x:c r="N47" s="6" t="str">
        <x:v>https://github.com/v5ma/v5ma.github.io/blob/master/vesperfall/dominion-ar.js</x:v>
      </x:c>
    </x:row>
    <x:row r="48" ht="124" customHeight="1">
      <x:c r="A48" s="6" t="str">
        <x:v>V43</x:v>
      </x:c>
      <x:c r="B48" s="6" t="str">
        <x:v>Resonant Hunt: adaptive score and spatial combat vocabulary</x:v>
      </x:c>
      <x:c r="C48" s="6" t="str">
        <x:v>Implemented</x:v>
      </x:c>
      <x:c r="D48" s="6" t="str">
        <x:v>P1</x:v>
      </x:c>
      <x:c r="E48" s="6" t="str">
        <x:v>M0</x:v>
      </x:c>
      <x:c r="F48" s="6" t="str">
        <x:v>Presentation</x:v>
      </x:c>
      <x:c r="G48" s="6" t="str">
        <x:v>Art / audio / assignment pending</x:v>
      </x:c>
      <x:c r="H48" s="6" t="str">
        <x:v>V22</x:v>
      </x:c>
      <x:c r="I48" s="6" t="str">
        <x:v>Atmosphere and directional warnings should support precision instead of masking it.</x:v>
      </x:c>
      <x:c r="J48" s="6" t="str">
        <x:v>Five original synthesized arrangements; positioned and distance/obstruction-aware effects; warning-driven music ducking; bounded voices and no hidden-tab backlog.</x:v>
      </x:c>
      <x:c r="K48" s="6" t="str">
        <x:v>Software release evidence; hardware and human gates remain separate.</x:v>
      </x:c>
      <x:c r="L48" s="6" t="str">
        <x:v>resonance-score.js
resonance-audio.js
tests/resonant-browser.py</x:v>
      </x:c>
      <x:c r="M48" s="6" t="str">
        <x:v>0.8.0</x:v>
      </x:c>
      <x:c r="N48" s="6" t="str">
        <x:v>https://github.com/v5ma/v5ma.github.io/blob/master/vesperfall/resonance-score.js</x:v>
      </x:c>
    </x:row>
    <x:row r="49" ht="124" customHeight="1">
      <x:c r="A49" s="6" t="str">
        <x:v>V44</x:v>
      </x:c>
      <x:c r="B49" s="6" t="str">
        <x:v>Independent sound mix, quiet option and captions</x:v>
      </x:c>
      <x:c r="C49" s="6" t="str">
        <x:v>Implemented</x:v>
      </x:c>
      <x:c r="D49" s="6" t="str">
        <x:v>P0</x:v>
      </x:c>
      <x:c r="E49" s="6" t="str">
        <x:v>M0</x:v>
      </x:c>
      <x:c r="F49" s="6" t="str">
        <x:v>Comfort</x:v>
      </x:c>
      <x:c r="G49" s="6" t="str">
        <x:v>UX / accessibility / assignment pending</x:v>
      </x:c>
      <x:c r="H49" s="6" t="str">
        <x:v>V43, V41</x:v>
      </x:c>
      <x:c r="I49" s="6" t="str">
        <x:v>Let players control sensory intensity rather than forcing an overwhelming mix.</x:v>
      </x:c>
      <x:c r="J49" s="6" t="str">
        <x:v>Separate music/effects/ambience/master controls are available on Xbox and Quest; explicit mute persists. Captions remain available.</x:v>
      </x:c>
      <x:c r="K49" s="6" t="str">
        <x:v>Software release evidence; hardware and human gates remain separate.</x:v>
      </x:c>
      <x:c r="L49" s="6" t="str">
        <x:v>resonance-audio.js
tests/resonant-browser.py</x:v>
      </x:c>
      <x:c r="M49" s="6" t="str">
        <x:v>0.8.0</x:v>
      </x:c>
      <x:c r="N49" s="6" t="str">
        <x:v>https://github.com/v5ma/v5ma.github.io/blob/master/vesperfall/resonance-audio.js</x:v>
      </x:c>
    </x:row>
    <x:row r="50" ht="124" customHeight="1">
      <x:c r="A50" s="6" t="str">
        <x:v>V45</x:v>
      </x:c>
      <x:c r="B50" s="6" t="str">
        <x:v>Palm familiar, physical pickups and tactical quiver</x:v>
      </x:c>
      <x:c r="C50" s="6" t="str">
        <x:v>Implemented</x:v>
      </x:c>
      <x:c r="D50" s="6" t="str">
        <x:v>P1</x:v>
      </x:c>
      <x:c r="E50" s="6" t="str">
        <x:v>M0</x:v>
      </x:c>
      <x:c r="F50" s="6" t="str">
        <x:v>Archery</x:v>
      </x:c>
      <x:c r="G50" s="6" t="str">
        <x:v>Gameplay / assignment pending</x:v>
      </x:c>
      <x:c r="H50" s="6" t="str">
        <x:v>V02, V41</x:v>
      </x:c>
      <x:c r="I50" s="6" t="str">
        <x:v>Move information and decisions into the physical archery loop.</x:v>
      </x:c>
      <x:c r="J50" s="6" t="str">
        <x:v>Palm-up status, near-hand trigger pulls, six-arrow selection and a three-second slow-time reserve work without slowing headset tracking.</x:v>
      </x:c>
      <x:c r="K50" s="6" t="str">
        <x:v>Software release evidence; hardware and human gates remain separate.</x:v>
      </x:c>
      <x:c r="L50" s="6" t="str">
        <x:v>ritual-model.js
resonance-ritual.js
tests/resonant-browser.py</x:v>
      </x:c>
      <x:c r="M50" s="6" t="str">
        <x:v>0.8.0</x:v>
      </x:c>
      <x:c r="N50" s="6" t="str">
        <x:v>https://github.com/v5ma/v5ma.github.io/blob/master/vesperfall/ritual-model.js</x:v>
      </x:c>
    </x:row>
    <x:row r="51" ht="124" customHeight="1">
      <x:c r="A51" s="6" t="str">
        <x:v>V46</x:v>
      </x:c>
      <x:c r="B51" s="6" t="str">
        <x:v>Finite Ricochet arrows and Mirror Thread unlock</x:v>
      </x:c>
      <x:c r="C51" s="6" t="str">
        <x:v>Implemented</x:v>
      </x:c>
      <x:c r="D51" s="6" t="str">
        <x:v>P1</x:v>
      </x:c>
      <x:c r="E51" s="6" t="str">
        <x:v>M0</x:v>
      </x:c>
      <x:c r="F51" s="6" t="str">
        <x:v>Progression</x:v>
      </x:c>
      <x:c r="G51" s="6" t="str">
        <x:v>Engineering / assignment pending</x:v>
      </x:c>
      <x:c r="H51" s="6" t="str">
        <x:v>V20, V21</x:v>
      </x:c>
      <x:c r="I51" s="6" t="str">
        <x:v>Add another tactical option with an earned long-term goal.</x:v>
      </x:c>
      <x:c r="J51" s="6" t="str">
        <x:v>At most two swept wall reflections; finite ammunition; 20 banked real hits unlock future loot. Practice never grants the unlock.</x:v>
      </x:c>
      <x:c r="K51" s="6" t="str">
        <x:v>Software release evidence; hardware and human gates remain separate.</x:v>
      </x:c>
      <x:c r="L51" s="6" t="str">
        <x:v>core.js
chronicle.js
tests/resonant.test.cjs</x:v>
      </x:c>
      <x:c r="M51" s="6" t="str">
        <x:v>0.8.0</x:v>
      </x:c>
      <x:c r="N51" s="6" t="str">
        <x:v>https://github.com/v5ma/v5ma.github.io/blob/master/vesperfall/core.js</x:v>
      </x:c>
    </x:row>
    <x:row r="52" ht="124" customHeight="1">
      <x:c r="A52" s="6" t="str">
        <x:v>V47</x:v>
      </x:c>
      <x:c r="B52" s="6" t="str">
        <x:v>Atomic profile/checkpoint receipt and damaged-save recovery</x:v>
      </x:c>
      <x:c r="C52" s="6" t="str">
        <x:v>Implemented</x:v>
      </x:c>
      <x:c r="D52" s="6" t="str">
        <x:v>P0</x:v>
      </x:c>
      <x:c r="E52" s="6" t="str">
        <x:v>M1</x:v>
      </x:c>
      <x:c r="F52" s="6" t="str">
        <x:v>Progression</x:v>
      </x:c>
      <x:c r="G52" s="6" t="str">
        <x:v>Engineering / assignment pending</x:v>
      </x:c>
      <x:c r="H52" s="6" t="str">
        <x:v>V15</x:v>
      </x:c>
      <x:c r="I52" s="6" t="str">
        <x:v>Avoid reward duplication, silent data loss and accidental overwrites.</x:v>
      </x:c>
      <x:c r="J52" s="6" t="str">
        <x:v>An integrity-checked envelope stores progression and banking receipts together. Quota failures are visible, stale tabs yield, and explicit discard retains permanent progress.</x:v>
      </x:c>
      <x:c r="K52" s="6" t="str">
        <x:v>Software release evidence; hardware and human gates remain separate.</x:v>
      </x:c>
      <x:c r="L52" s="6" t="str">
        <x:v>pilgrim-save.js
pilgrim-rest.js
tests/pilgrim.test.cjs
tests/pilgrim-browser.py</x:v>
      </x:c>
      <x:c r="M52" s="6" t="str">
        <x:v>0.9.0</x:v>
      </x:c>
      <x:c r="N52" s="6" t="str">
        <x:v>https://github.com/v5ma/v5ma.github.io/blob/master/vesperfall/pilgrim-save.js</x:v>
      </x:c>
    </x:row>
    <x:row r="53" ht="134" customHeight="1">
      <x:c r="A53" s="6" t="str">
        <x:v>V48</x:v>
      </x:c>
      <x:c r="B53" s="6" t="str">
        <x:v>Synchronized canonical production board, six-sheet workbook and cross-chat handoff</x:v>
      </x:c>
      <x:c r="C53" s="6" t="str">
        <x:v>Implemented</x:v>
      </x:c>
      <x:c r="D53" s="6" t="str">
        <x:v>P0</x:v>
      </x:c>
      <x:c r="E53" s="6" t="str">
        <x:v>M1</x:v>
      </x:c>
      <x:c r="F53" s="6" t="str">
        <x:v>Foundation</x:v>
      </x:c>
      <x:c r="G53" s="6" t="str">
        <x:v>Engineering / assignment pending</x:v>
      </x:c>
      <x:c r="H53" s="6" t="str">
        <x:v>V15</x:v>
      </x:c>
      <x:c r="I53" s="6" t="str">
        <x:v>Make each release close a measurable gap and keep the long-term path inspectable.</x:v>
      </x:c>
      <x:c r="J53" s="6" t="str">
        <x:v>Keep roadmap.json version aligned with release.json and core.js. Preserve V01-V76; export the six-sheet workbook with matching source digest and live summary formulas. Keep DEVELOPMENT-HANDOFF.md and CONTINUATION-AUDIT.md linked from the board and README. Verify committed files, not browser-local edits.</x:v>
      </x:c>
      <x:c r="K53" s="6" t="str">
        <x:v>September 13 repairs both the stale plan/workbook and the core diagnostic version label, without changing mechanics or save formats. Historical acceptance had 148 model passes and one plan-version failure; fresh checks are recorded separately. Physical/human gates remain open.</x:v>
      </x:c>
      <x:c r="L53" s="6" t="str">
        <x:v>roadmap.json
roadmap.html
AAA-PRODUCTION.xlsx
tests/production.test.cjs
tests/production-browser.py
DEVELOPMENT-HANDOFF.md
CONTINUATION-AUDIT.md</x:v>
      </x:c>
      <x:c r="M53" s="6" t="str">
        <x:v>0.9.0 foundation; 0.12.0 planning synchronization</x:v>
      </x:c>
      <x:c r="N53" s="6" t="str">
        <x:v>https://github.com/v5ma/v5ma.github.io/blob/master/vesperfall/roadmap.json</x:v>
      </x:c>
    </x:row>
    <x:row r="54" ht="124" customHeight="1">
      <x:c r="A54" s="6" t="str">
        <x:v>V49</x:v>
      </x:c>
      <x:c r="B54" s="6" t="str">
        <x:v>First ten minutes: playable physical onboarding</x:v>
      </x:c>
      <x:c r="C54" s="6" t="str">
        <x:v>Partial</x:v>
      </x:c>
      <x:c r="D54" s="6" t="str">
        <x:v>P0</x:v>
      </x:c>
      <x:c r="E54" s="6" t="str">
        <x:v>M1</x:v>
      </x:c>
      <x:c r="F54" s="6" t="str">
        <x:v>Practice</x:v>
      </x:c>
      <x:c r="G54" s="6" t="str">
        <x:v>Gameplay / UX / assignment pending</x:v>
      </x:c>
      <x:c r="H54" s="6" t="str">
        <x:v>V25, V41, V45</x:v>
      </x:c>
      <x:c r="I54" s="6" t="str">
        <x:v>A feature-rich control scheme is not yet an intuitive first session.</x:v>
      </x:c>
      <x:c r="J54" s="6" t="str">
        <x:v>A new player can learn nock/draw, cancel, reload, shield, Blink, shard step, pickups and quiver in either handedness, then enter a short scored encounter. Record completion, confusion and fatigue.</x:v>
      </x:c>
      <x:c r="K54" s="6" t="str">
        <x:v>Ten playable lessons now verify actual outcomes, with device-specific hints and a spatial Quest coach. Skips are recorded separately. Software-only: first-user confusion, reversed-hand ergonomics and fatigue remain to be measured.</x:v>
      </x:c>
      <x:c r="L54" s="6" t="str">
        <x:v>first-bell.js
tests/first-bell-browser.py</x:v>
      </x:c>
      <x:c r="M54" s="6" t="str">
        <x:v>0.10.0 First Bell</x:v>
      </x:c>
      <x:c r="N54" s="6" t="str">
        <x:v>https://github.com/v5ma/v5ma.github.io/blob/master/vesperfall/first-bell.js</x:v>
      </x:c>
    </x:row>
    <x:row r="55" ht="124" customHeight="1">
      <x:c r="A55" s="6" t="str">
        <x:v>V50</x:v>
      </x:c>
      <x:c r="B55" s="6" t="str">
        <x:v>Encounter director with fair threat and recovery budgets</x:v>
      </x:c>
      <x:c r="C55" s="6" t="str">
        <x:v>Partial</x:v>
      </x:c>
      <x:c r="D55" s="6" t="str">
        <x:v>P0</x:v>
      </x:c>
      <x:c r="E55" s="6" t="str">
        <x:v>M2</x:v>
      </x:c>
      <x:c r="F55" s="6" t="str">
        <x:v>Combat</x:v>
      </x:c>
      <x:c r="G55" s="6" t="str">
        <x:v>Gameplay / assignment pending</x:v>
      </x:c>
      <x:c r="H55" s="6" t="str">
        <x:v>V13, V40, V43</x:v>
      </x:c>
      <x:c r="I55" s="6" t="str">
        <x:v>Fifteen archetypes need readable group pacing, not simultaneous noise.</x:v>
      </x:c>
      <x:c r="J55" s="6" t="str">
        <x:v>Coordinate telegraphed melee/ranged attacks, limit unavoidable overlap and offscreen attacks, preserve escape routes and add recovery beats. Replay fixed-seed stress encounters.</x:v>
      </x:c>
      <x:c r="K55" s="6" t="str">
        <x:v>The optional Oath coordinates three staged encounters with front-hemisphere initiation, bolt/windup budgets and recovery supplies. The original Endless mode is unchanged. Broad seed/human difficulty evaluation remains open.</x:v>
      </x:c>
      <x:c r="L55" s="6" t="str">
        <x:v>oath-model.js
tests/oath.test.cjs
tests/first-bell-browser.py</x:v>
      </x:c>
      <x:c r="M55" s="6" t="str">
        <x:v>0.10.0 First Bell</x:v>
      </x:c>
      <x:c r="N55" s="6" t="str">
        <x:v>https://github.com/v5ma/v5ma.github.io/blob/master/vesperfall/oath-model.js</x:v>
      </x:c>
    </x:row>
    <x:row r="56" ht="124" customHeight="1">
      <x:c r="A56" s="6" t="str">
        <x:v>V51</x:v>
      </x:c>
      <x:c r="B56" s="6" t="str">
        <x:v>First signature boss: readable multi-phase duel</x:v>
      </x:c>
      <x:c r="C56" s="6" t="str">
        <x:v>Partial</x:v>
      </x:c>
      <x:c r="D56" s="6" t="str">
        <x:v>P1</x:v>
      </x:c>
      <x:c r="E56" s="6" t="str">
        <x:v>M2</x:v>
      </x:c>
      <x:c r="F56" s="6" t="str">
        <x:v>Combat</x:v>
      </x:c>
      <x:c r="G56" s="6" t="str">
        <x:v>Gameplay / assignment pending</x:v>
      </x:c>
      <x:c r="H56" s="6" t="str">
        <x:v>V50, V18, V04</x:v>
      </x:c>
      <x:c r="I56" s="6" t="str">
        <x:v>Create a memorable mastery test rather than another enlarged standard enemy.</x:v>
      </x:c>
      <x:c r="J56" s="6" t="str">
        <x:v>An original boss changes tactics across three tested phases, uses cover/height, offers weak-point windows and has no unavoidable transition damage or restart softlock.</x:v>
      </x:c>
      <x:c r="K56" s="6" t="str">
        <x:v>The Bellkeeper has three committed attack phases, armor/recovery weak points and protected transitions. Original procedural character art is implemented; production rigging, animation and human difficulty approval are not complete.</x:v>
      </x:c>
      <x:c r="L56" s="6" t="str">
        <x:v>oath-model.js
first-bell.js
tests/oath.test.cjs
tests/first-bell-browser.py</x:v>
      </x:c>
      <x:c r="M56" s="6" t="str">
        <x:v>0.10.0 First Bell</x:v>
      </x:c>
      <x:c r="N56" s="6" t="str">
        <x:v>https://github.com/v5ma/v5ma.github.io/blob/master/vesperfall/oath-model.js</x:v>
      </x:c>
    </x:row>
    <x:row r="57" ht="162" customHeight="1">
      <x:c r="A57" s="6" t="str">
        <x:v>V52</x:v>
      </x:c>
      <x:c r="B57" s="6" t="str">
        <x:v>Authored vertical-slice route grammar and route contracts</x:v>
      </x:c>
      <x:c r="C57" s="6" t="str">
        <x:v>Partial</x:v>
      </x:c>
      <x:c r="D57" s="6" t="str">
        <x:v>P0</x:v>
      </x:c>
      <x:c r="E57" s="6" t="str">
        <x:v>M2</x:v>
      </x:c>
      <x:c r="F57" s="6" t="str">
        <x:v>World</x:v>
      </x:c>
      <x:c r="G57" s="6" t="str">
        <x:v>Level design / assignment pending</x:v>
      </x:c>
      <x:c r="H57" s="6" t="str">
        <x:v>V39, V34</x:v>
      </x:c>
      <x:c r="I57" s="6" t="str">
        <x:v>Replace sheer room count with deliberately paced exploration.</x:v>
      </x:c>
      <x:c r="J57" s="6" t="str">
        <x:v>One polished 20-30 minute target route mixes safe introduction, alternate approach, escalating encounter, discovery and boss payoff. Validate every traversal connector and recovery path. Duration is a design target, not measured content. Preserve multi-level gothic sightlines and multiple approaches. Plan selective water-adjacent discoveries with purpose; the present water layer does not create new navigable rooms.</x:v>
      </x:c>
      <x:c r="K57" s="6" t="str">
        <x:v>A connected Roseglass/Ivory Crown/Ember Crown progression reuses the collision-tested 25-room world, existing stairs and alternate approaches. Three staged courts are implemented; the proposed 20-30 minute polished duration and authored connector variety are not yet measured or complete.</x:v>
      </x:c>
      <x:c r="L57" s="6" t="str">
        <x:v>oath-model.js
first-bell.js
tests/oath.test.cjs
CONTINUATION-AUDIT.md</x:v>
      </x:c>
      <x:c r="M57" s="6" t="str">
        <x:v>0.10.0 First Bell</x:v>
      </x:c>
      <x:c r="N57" s="6" t="str">
        <x:v>https://github.com/v5ma/v5ma.github.io/blob/master/vesperfall/oath-model.js</x:v>
      </x:c>
    </x:row>
    <x:row r="58" ht="124" customHeight="1">
      <x:c r="A58" s="6" t="str">
        <x:v>V53</x:v>
      </x:c>
      <x:c r="B58" s="6" t="str">
        <x:v>Meaningful run builds and loot-choice balance</x:v>
      </x:c>
      <x:c r="C58" s="6" t="str">
        <x:v>Planned</x:v>
      </x:c>
      <x:c r="D58" s="6" t="str">
        <x:v>P1</x:v>
      </x:c>
      <x:c r="E58" s="6" t="str">
        <x:v>M2</x:v>
      </x:c>
      <x:c r="F58" s="6" t="str">
        <x:v>Progression</x:v>
      </x:c>
      <x:c r="G58" s="6" t="str">
        <x:v>Engineering / assignment pending</x:v>
      </x:c>
      <x:c r="H58" s="6" t="str">
        <x:v>V46, V51</x:v>
      </x:c>
      <x:c r="I58" s="6" t="str">
        <x:v>Give repeated runs a changing strategy and satisfying decisions.</x:v>
      </x:c>
      <x:c r="J58" s="6" t="str">
        <x:v>At least three viable archery build identities create distinct trade-offs; costs, loot odds and special-arrow counters are documented and tested. No mandatory grind to access basic controls.</x:v>
      </x:c>
      <x:c r="K58" s="6" t="str">
        <x:v>Not closed; no completion credit without gate evidence.</x:v>
      </x:c>
      <x:c r="L58" s="6" t="str"/>
      <x:c r="M58" s="6" t="str"/>
      <x:c r="N58" s="6" t="str">
        <x:v>https://github.com/v5ma/v5ma.github.io/blob/master/vesperfall/roadmap.json</x:v>
      </x:c>
    </x:row>
    <x:row r="59" ht="162" customHeight="1">
      <x:c r="A59" s="6" t="str">
        <x:v>V54</x:v>
      </x:c>
      <x:c r="B59" s="6" t="str">
        <x:v>Original rigged enemy, bow-hand and shield production assets</x:v>
      </x:c>
      <x:c r="C59" s="6" t="str">
        <x:v>Partial</x:v>
      </x:c>
      <x:c r="D59" s="6" t="str">
        <x:v>P0</x:v>
      </x:c>
      <x:c r="E59" s="6" t="str">
        <x:v>M3</x:v>
      </x:c>
      <x:c r="F59" s="6" t="str">
        <x:v>Art</x:v>
      </x:c>
      <x:c r="G59" s="6" t="str">
        <x:v>Technical art</x:v>
      </x:c>
      <x:c r="H59" s="6" t="str">
        <x:v>V14, V50</x:v>
      </x:c>
      <x:c r="I59" s="6" t="str">
        <x:v>Foreground and character quality must catch up with the architecture.</x:v>
      </x:c>
      <x:c r="J59" s="6" t="str">
        <x:v>Produce consistent original/licensed meshes, LODs, rigs and materials for one complete vertical slice; registered provenance; review both eye views and close-range silhouette. Retain the 15 existing archetypes, including the 12 added outer enemy orders. Improve humanoid/knight silhouettes and counterplay; do not restart the already delivered numerical expansion or copy commercial reference assets.</x:v>
      </x:c>
      <x:c r="K59" s="6" t="str">
        <x:v>Original procedural humanoids now have two-bone legs, articulated arms, smaller helmets and less oversized torsos. Movement drives foot contact and terrain sampling; no hitbox changes. This is a procedural animation foundation, not a completed production mesh/LOD/retargeting pipeline.</x:v>
      </x:c>
      <x:c r="L59" s="6" t="str">
        <x:v>dominion-art.js
surestep-art.js
surestep-model.js
tests/surestep.test.cjs
SURESTEP.md</x:v>
      </x:c>
      <x:c r="M59" s="6" t="str"/>
      <x:c r="N59" s="6" t="str">
        <x:v>https://github.com/v5ma/v5ma.github.io/blob/master/vesperfall/CONTINUATION-AUDIT.md</x:v>
      </x:c>
    </x:row>
    <x:row r="60" ht="124" customHeight="1">
      <x:c r="A60" s="6" t="str">
        <x:v>V55</x:v>
      </x:c>
      <x:c r="B60" s="6" t="str">
        <x:v>Animation transitions, reactions and archery weight</x:v>
      </x:c>
      <x:c r="C60" s="6" t="str">
        <x:v>Planned</x:v>
      </x:c>
      <x:c r="D60" s="6" t="str">
        <x:v>P1</x:v>
      </x:c>
      <x:c r="E60" s="6" t="str">
        <x:v>M3</x:v>
      </x:c>
      <x:c r="F60" s="6" t="str">
        <x:v>Art</x:v>
      </x:c>
      <x:c r="G60" s="6" t="str">
        <x:v>Technical art / assignment pending</x:v>
      </x:c>
      <x:c r="H60" s="6" t="str">
        <x:v>V54</x:v>
      </x:c>
      <x:c r="I60" s="6" t="str">
        <x:v>Make enemies and weapons feel physical instead of procedural placeholders.</x:v>
      </x:c>
      <x:c r="J60" s="6" t="str">
        <x:v>Blend idle/locomotion/windup/recovery/hit/death clips; grounded contact and readable hands; reactions never hide the true hitbox or cancel a valid counter.</x:v>
      </x:c>
      <x:c r="K60" s="6" t="str">
        <x:v>Not closed; no completion credit without gate evidence.</x:v>
      </x:c>
      <x:c r="L60" s="6" t="str"/>
      <x:c r="M60" s="6" t="str"/>
      <x:c r="N60" s="6" t="str">
        <x:v>https://github.com/v5ma/v5ma.github.io/blob/master/vesperfall/roadmap.json</x:v>
      </x:c>
    </x:row>
    <x:row r="61" ht="124" customHeight="1">
      <x:c r="A61" s="6" t="str">
        <x:v>V56</x:v>
      </x:c>
      <x:c r="B61" s="6" t="str">
        <x:v>Three strongly differentiated biome packages</x:v>
      </x:c>
      <x:c r="C61" s="6" t="str">
        <x:v>Planned</x:v>
      </x:c>
      <x:c r="D61" s="6" t="str">
        <x:v>P1</x:v>
      </x:c>
      <x:c r="E61" s="6" t="str">
        <x:v>M3</x:v>
      </x:c>
      <x:c r="F61" s="6" t="str">
        <x:v>World</x:v>
      </x:c>
      <x:c r="G61" s="6" t="str">
        <x:v>Level design / assignment pending</x:v>
      </x:c>
      <x:c r="H61" s="6" t="str">
        <x:v>V52, V54</x:v>
      </x:c>
      <x:c r="I61" s="6" t="str">
        <x:v>Different sectors should feel like places, not palette swaps.</x:v>
      </x:c>
      <x:c r="J61" s="6" t="str">
        <x:v>Complete coherent crypt, storm roof and luminous sanctuary kits with different navigation, encounter opportunities, materials and sonic palettes. Validate seed combinations and repeated transitions.</x:v>
      </x:c>
      <x:c r="K61" s="6" t="str">
        <x:v>Not closed; no completion credit without gate evidence.</x:v>
      </x:c>
      <x:c r="L61" s="6" t="str"/>
      <x:c r="M61" s="6" t="str"/>
      <x:c r="N61" s="6" t="str">
        <x:v>https://github.com/v5ma/v5ma.github.io/blob/master/vesperfall/roadmap.json</x:v>
      </x:c>
    </x:row>
    <x:row r="62" ht="124" customHeight="1">
      <x:c r="A62" s="6" t="str">
        <x:v>V57</x:v>
      </x:c>
      <x:c r="B62" s="6" t="str">
        <x:v>Original environmental narrative and reward presentation</x:v>
      </x:c>
      <x:c r="C62" s="6" t="str">
        <x:v>Planned</x:v>
      </x:c>
      <x:c r="D62" s="6" t="str">
        <x:v>P1</x:v>
      </x:c>
      <x:c r="E62" s="6" t="str">
        <x:v>M3</x:v>
      </x:c>
      <x:c r="F62" s="6" t="str">
        <x:v>Presentation</x:v>
      </x:c>
      <x:c r="G62" s="6" t="str">
        <x:v>Art / audio / assignment pending</x:v>
      </x:c>
      <x:c r="H62" s="6" t="str">
        <x:v>V52, V56</x:v>
      </x:c>
      <x:c r="I62" s="6" t="str">
        <x:v>Give exploration emotional meaning and recognizable destinations.</x:v>
      </x:c>
      <x:c r="J62" s="6" t="str">
        <x:v>Public-only lore, landmarks and discoveries connect the world; skippable/accessible presentation; no private story content enters this repository without permission.</x:v>
      </x:c>
      <x:c r="K62" s="6" t="str">
        <x:v>Not closed; no completion credit without gate evidence.</x:v>
      </x:c>
      <x:c r="L62" s="6" t="str"/>
      <x:c r="M62" s="6" t="str"/>
      <x:c r="N62" s="6" t="str">
        <x:v>https://github.com/v5ma/v5ma.github.io/blob/master/vesperfall/roadmap.json</x:v>
      </x:c>
    </x:row>
    <x:row r="63" ht="162" customHeight="1">
      <x:c r="A63" s="6" t="str">
        <x:v>V58</x:v>
      </x:c>
      <x:c r="B63" s="6" t="str">
        <x:v>Production sound/music pass, water acoustics and long-session clarity</x:v>
      </x:c>
      <x:c r="C63" s="6" t="str">
        <x:v>Planned</x:v>
      </x:c>
      <x:c r="D63" s="6" t="str">
        <x:v>P0</x:v>
      </x:c>
      <x:c r="E63" s="6" t="str">
        <x:v>M3</x:v>
      </x:c>
      <x:c r="F63" s="6" t="str">
        <x:v>Presentation</x:v>
      </x:c>
      <x:c r="G63" s="6" t="str">
        <x:v>Art / audio / assignment pending</x:v>
      </x:c>
      <x:c r="H63" s="6" t="str">
        <x:v>V43, V44, V50</x:v>
      </x:c>
      <x:c r="I63" s="6" t="str">
        <x:v>The user explicitly prioritizes much stronger in-game sound and music; precise archery also needs audible material identity and readable threat direction.</x:v>
      </x:c>
      <x:c r="J63" s="6" t="str">
        <x:v>Improve bow tension/release, crossbow winding/reload, arrow material impacts, shield impact/break, distinct enemy warnings, bells/wind, footsteps, water entries/splashes/drips and room ambience. Add restrained exploration/pressure/recovery/boss transitions; preserve independent buses, mute, captions, quiet mix, controller access and voice budgets. Pass PCM/lifecycle tests and a dated 30-minute human headphone review.</x:v>
      </x:c>
      <x:c r="K63" s="6" t="str">
        <x:v>Planned production pass. Resonant Hunt audio exists; current tidelight.js does not wire water-specific sounds. Earlier draft descriptions of positional water splashes/footsteps are not shipped evidence.</x:v>
      </x:c>
      <x:c r="L63" s="6" t="str">
        <x:v>RESONANT-HUNT.md
tidelight.js
CONTINUATION-AUDIT.md</x:v>
      </x:c>
      <x:c r="M63" s="6" t="str"/>
      <x:c r="N63" s="6" t="str">
        <x:v>https://github.com/v5ma/v5ma.github.io/blob/master/vesperfall/RESONANT-HUNT.md</x:v>
      </x:c>
    </x:row>
    <x:row r="64" ht="124" customHeight="1">
      <x:c r="A64" s="6" t="str">
        <x:v>V59</x:v>
      </x:c>
      <x:c r="B64" s="6" t="str">
        <x:v>Quest 3 measured frame-time and thermal budget</x:v>
      </x:c>
      <x:c r="C64" s="6" t="str">
        <x:v>Hardware QA</x:v>
      </x:c>
      <x:c r="D64" s="6" t="str">
        <x:v>P0</x:v>
      </x:c>
      <x:c r="E64" s="6" t="str">
        <x:v>M4</x:v>
      </x:c>
      <x:c r="F64" s="6" t="str">
        <x:v>Hardware</x:v>
      </x:c>
      <x:c r="G64" s="6" t="str">
        <x:v>Device QA / assignment pending</x:v>
      </x:c>
      <x:c r="H64" s="6" t="str">
        <x:v>V38, V54</x:v>
      </x:c>
      <x:c r="I64" s="6" t="str">
        <x:v>Only measured device performance can close the performance gate.</x:v>
      </x:c>
      <x:c r="J64" s="6" t="str">
        <x:v>Capture 30-minute native Quest traces with scene, headset/browser version, frame-time percentiles, dropped frames and thermal observations. Proposed minimum 72 Hz target: p95 CPU and GPU each under 13.89 ms; 90 Hz mode targets 11.11 ms. Targets are not current measurements.</x:v>
      </x:c>
      <x:c r="K64" s="6" t="str">
        <x:v>Not closed; no completion credit without gate evidence.</x:v>
      </x:c>
      <x:c r="L64" s="6" t="str"/>
      <x:c r="M64" s="6" t="str"/>
      <x:c r="N64" s="6" t="str">
        <x:v>https://github.com/v5ma/v5ma.github.io/blob/master/vesperfall/roadmap.json</x:v>
      </x:c>
    </x:row>
    <x:row r="65" ht="124" customHeight="1">
      <x:c r="A65" s="6" t="str">
        <x:v>V60</x:v>
      </x:c>
      <x:c r="B65" s="6" t="str">
        <x:v>World batching, distance detail and memory stability</x:v>
      </x:c>
      <x:c r="C65" s="6" t="str">
        <x:v>Planned</x:v>
      </x:c>
      <x:c r="D65" s="6" t="str">
        <x:v>P0</x:v>
      </x:c>
      <x:c r="E65" s="6" t="str">
        <x:v>M4</x:v>
      </x:c>
      <x:c r="F65" s="6" t="str">
        <x:v>Foundation</x:v>
      </x:c>
      <x:c r="G65" s="6" t="str">
        <x:v>Engineering / assignment pending</x:v>
      </x:c>
      <x:c r="H65" s="6" t="str">
        <x:v>V59</x:v>
      </x:c>
      <x:c r="I65" s="6" t="str">
        <x:v>Optimize the bottleneck actually observed on the target headset.</x:v>
      </x:c>
      <x:c r="J65" s="6" t="str">
        <x:v>Profile first, then budget visibility/batching/LODs and allocation. Ten rebuilds and VR/AR cycles show bounded memory and no steadily growing resources; visual quality remains readable.</x:v>
      </x:c>
      <x:c r="K65" s="6" t="str">
        <x:v>Not closed; no completion credit without gate evidence.</x:v>
      </x:c>
      <x:c r="L65" s="6" t="str"/>
      <x:c r="M65" s="6" t="str"/>
      <x:c r="N65" s="6" t="str">
        <x:v>https://github.com/v5ma/v5ma.github.io/blob/master/vesperfall/roadmap.json</x:v>
      </x:c>
    </x:row>
    <x:row r="66" ht="162" customHeight="1">
      <x:c r="A66" s="6" t="str">
        <x:v>V61</x:v>
      </x:c>
      <x:c r="B66" s="6" t="str">
        <x:v>Full remapping, seated/reach calibration and comfort presets</x:v>
      </x:c>
      <x:c r="C66" s="6" t="str">
        <x:v>Planned</x:v>
      </x:c>
      <x:c r="D66" s="6" t="str">
        <x:v>P0</x:v>
      </x:c>
      <x:c r="E66" s="6" t="str">
        <x:v>M4</x:v>
      </x:c>
      <x:c r="F66" s="6" t="str">
        <x:v>Comfort</x:v>
      </x:c>
      <x:c r="G66" s="6" t="str">
        <x:v>UX / accessibility</x:v>
      </x:c>
      <x:c r="H66" s="6" t="str">
        <x:v>V49, V41</x:v>
      </x:c>
      <x:c r="I66" s="6" t="str">
        <x:v>Different bodies and play spaces need more than a handedness toggle.</x:v>
      </x:c>
      <x:c r="J66" s="6" t="str">
        <x:v>Configurable action mapping with conflict checks, seated/standing height and reach calibration, turn/motion presets and readable UI. Each can be reset without a mouse. Resolve grip-role conflicts by documenting the current bow-hand shard/free-hand shield mapping; implement physical thrown shards under V24, not an undocumented remap. Cover every new water/audio panel in controller-only tests.</x:v>
      </x:c>
      <x:c r="K66" s="6" t="str">
        <x:v>Water controls and both handedness choices are exposed to tracked controllers and tracked-hand UI. Full rebinding/conflict checking, seated/reach calibration and hardware comfort presets remain unimplemented.</x:v>
      </x:c>
      <x:c r="L66" s="6" t="str">
        <x:v>dominion-controls.js
quest-hands.js
SURESTEP.md</x:v>
      </x:c>
      <x:c r="M66" s="6" t="str"/>
      <x:c r="N66" s="6" t="str">
        <x:v>https://github.com/v5ma/v5ma.github.io/blob/master/vesperfall/CONTINUATION-AUDIT.md</x:v>
      </x:c>
    </x:row>
    <x:row r="67" ht="124" customHeight="1">
      <x:c r="A67" s="6" t="str">
        <x:v>V62</x:v>
      </x:c>
      <x:c r="B67" s="6" t="str">
        <x:v>Physical Xbox/Quest/phone lifecycle matrix</x:v>
      </x:c>
      <x:c r="C67" s="6" t="str">
        <x:v>Hardware QA</x:v>
      </x:c>
      <x:c r="D67" s="6" t="str">
        <x:v>P0</x:v>
      </x:c>
      <x:c r="E67" s="6" t="str">
        <x:v>M4</x:v>
      </x:c>
      <x:c r="F67" s="6" t="str">
        <x:v>Hardware</x:v>
      </x:c>
      <x:c r="G67" s="6" t="str">
        <x:v>Device QA / assignment pending</x:v>
      </x:c>
      <x:c r="H67" s="6" t="str">
        <x:v>V15, V41, V61</x:v>
      </x:c>
      <x:c r="I67" s="6" t="str">
        <x:v>Emulated button events cannot certify actual hardware integration.</x:v>
      </x:c>
      <x:c r="J67" s="6" t="str">
        <x:v>Real USB/Bluetooth Xbox and both Quest hands pass pairing, disconnect during draw, visibility loss, denied permission, tracking interruption, save/continue and AR round trips. Record device/build/results.</x:v>
      </x:c>
      <x:c r="K67" s="6" t="str">
        <x:v>Not closed; no completion credit without gate evidence.</x:v>
      </x:c>
      <x:c r="L67" s="6" t="str"/>
      <x:c r="M67" s="6" t="str"/>
      <x:c r="N67" s="6" t="str">
        <x:v>https://github.com/v5ma/v5ma.github.io/blob/master/vesperfall/roadmap.json</x:v>
      </x:c>
    </x:row>
    <x:row r="68" ht="190" customHeight="1">
      <x:c r="A68" s="6" t="str">
        <x:v>V63</x:v>
      </x:c>
      <x:c r="B68" s="6" t="str">
        <x:v>Accessible subtitles, contrast and non-color threat cues</x:v>
      </x:c>
      <x:c r="C68" s="6" t="str">
        <x:v>Planned</x:v>
      </x:c>
      <x:c r="D68" s="6" t="str">
        <x:v>P1</x:v>
      </x:c>
      <x:c r="E68" s="6" t="str">
        <x:v>M4</x:v>
      </x:c>
      <x:c r="F68" s="6" t="str">
        <x:v>Comfort</x:v>
      </x:c>
      <x:c r="G68" s="6" t="str">
        <x:v>UX / accessibility / assignment pending</x:v>
      </x:c>
      <x:c r="H68" s="6" t="str">
        <x:v>V44, V55</x:v>
      </x:c>
      <x:c r="I68" s="6" t="str">
        <x:v>Threats and menus must remain readable beyond one ideal user.</x:v>
      </x:c>
      <x:c r="J68" s="6" t="str">
        <x:v>Text size/contrast, sound direction captions, color-independent ammunition/enemy signals and reduced-flash mode survive desktop, stereo and passthrough contexts. Human accessibility review required. Preserve the palm-familiar, diegetic status design for VR and supported accessibility fallbacks. The user requested discrete hit points rather than a bar; the existing numerical health model and desktop HUD are a recorded design gap, not authorization to silently change save semantics.</x:v>
      </x:c>
      <x:c r="K68" s="6" t="str">
        <x:v>Not closed; no completion credit without gate evidence.</x:v>
      </x:c>
      <x:c r="L68" s="6" t="str">
        <x:v>CONTINUATION-AUDIT.md</x:v>
      </x:c>
      <x:c r="M68" s="6" t="str"/>
      <x:c r="N68" s="6" t="str">
        <x:v>https://github.com/v5ma/v5ma.github.io/blob/master/vesperfall/CONTINUATION-AUDIT.md</x:v>
      </x:c>
    </x:row>
    <x:row r="69" ht="124" customHeight="1">
      <x:c r="A69" s="6" t="str">
        <x:v>V64</x:v>
      </x:c>
      <x:c r="B69" s="6" t="str">
        <x:v>Human difficulty, discovery and repeat-play study</x:v>
      </x:c>
      <x:c r="C69" s="6" t="str">
        <x:v>Planned</x:v>
      </x:c>
      <x:c r="D69" s="6" t="str">
        <x:v>P0</x:v>
      </x:c>
      <x:c r="E69" s="6" t="str">
        <x:v>M5</x:v>
      </x:c>
      <x:c r="F69" s="6" t="str">
        <x:v>Testing</x:v>
      </x:c>
      <x:c r="G69" s="6" t="str">
        <x:v>QA / play research / assignment pending</x:v>
      </x:c>
      <x:c r="H69" s="6" t="str">
        <x:v>V49, V51, V52</x:v>
      </x:c>
      <x:c r="I69" s="6" t="str">
        <x:v>Test whether the experience is enjoyable and understandable.</x:v>
      </x:c>
      <x:c r="J69" s="6" t="str">
        <x:v>Record at least 8 external playtest sessions as a proposed first research batch, including new/experienced players. Track task success, deaths, confusion, route discovery, fatigue and whether they choose another run. No automated score substitutes.</x:v>
      </x:c>
      <x:c r="K69" s="6" t="str">
        <x:v>Not closed; no completion credit without gate evidence.</x:v>
      </x:c>
      <x:c r="L69" s="6" t="str"/>
      <x:c r="M69" s="6" t="str"/>
      <x:c r="N69" s="6" t="str">
        <x:v>https://github.com/v5ma/v5ma.github.io/blob/master/vesperfall/roadmap.json</x:v>
      </x:c>
    </x:row>
    <x:row r="70" ht="148" customHeight="1">
      <x:c r="A70" s="6" t="str">
        <x:v>V65</x:v>
      </x:c>
      <x:c r="B70" s="6" t="str">
        <x:v>Save migration, backup/export and upgrade compatibility</x:v>
      </x:c>
      <x:c r="C70" s="6" t="str">
        <x:v>Planned</x:v>
      </x:c>
      <x:c r="D70" s="6" t="str">
        <x:v>P0</x:v>
      </x:c>
      <x:c r="E70" s="6" t="str">
        <x:v>M5</x:v>
      </x:c>
      <x:c r="F70" s="6" t="str">
        <x:v>Progression</x:v>
      </x:c>
      <x:c r="G70" s="6" t="str">
        <x:v>Engineering / assignment pending</x:v>
      </x:c>
      <x:c r="H70" s="6" t="str">
        <x:v>V47</x:v>
      </x:c>
      <x:c r="I70" s="6" t="str">
        <x:v>A published game needs durable progress across later upgrades.</x:v>
      </x:c>
      <x:c r="J70" s="6" t="str">
        <x:v>Keep fixtures for old supported generator/schema versions, offer explicit local backup/restore and verify interrupted writes, browser quota and update migration. Never silently reset incompatible saves. Any future discrete-hit-point conversion must specify health/healing balance and tested checkpoint migration; retain current health and profiles in presentation-only releases.</x:v>
      </x:c>
      <x:c r="K70" s="6" t="str">
        <x:v>Not closed; no completion credit without gate evidence.</x:v>
      </x:c>
      <x:c r="L70" s="6" t="str"/>
      <x:c r="M70" s="6" t="str"/>
      <x:c r="N70" s="6" t="str">
        <x:v>https://github.com/v5ma/v5ma.github.io/blob/master/vesperfall/roadmap.json</x:v>
      </x:c>
    </x:row>
    <x:row r="71" ht="176" customHeight="1">
      <x:c r="A71" s="6" t="str">
        <x:v>V66</x:v>
      </x:c>
      <x:c r="B71" s="6" t="str">
        <x:v>Broad seeded soak and repeated-session fault injection</x:v>
      </x:c>
      <x:c r="C71" s="6" t="str">
        <x:v>Planned</x:v>
      </x:c>
      <x:c r="D71" s="6" t="str">
        <x:v>P0</x:v>
      </x:c>
      <x:c r="E71" s="6" t="str">
        <x:v>M5</x:v>
      </x:c>
      <x:c r="F71" s="6" t="str">
        <x:v>Testing</x:v>
      </x:c>
      <x:c r="G71" s="6" t="str">
        <x:v>QA / play research / assignment pending</x:v>
      </x:c>
      <x:c r="H71" s="6" t="str">
        <x:v>V50, V60, V65</x:v>
      </x:c>
      <x:c r="I71" s="6" t="str">
        <x:v>Finite smoke tests are not a complete campaign quality gate.</x:v>
      </x:c>
      <x:c r="J71" s="6" t="str">
        <x:v>Run at least 1000 proposed seed/depth fixtures and 50 lifecycle transitions, tracking unreachable rewards, spawning collisions, NaNs, leaks and progress duplication. Publish failures and seed repros. Add dedicated Tidelight tests for pool placement across depth/seed, standing on high walks above water, actual arrow-water crossings, paused/reduced-effects motion, sector clock resets, AR return and old-save continuation.</x:v>
      </x:c>
      <x:c r="K71" s="6" t="str">
        <x:v>Not closed; no completion credit without gate evidence.</x:v>
      </x:c>
      <x:c r="L71" s="6" t="str">
        <x:v>CONTINUATION-AUDIT.md</x:v>
      </x:c>
      <x:c r="M71" s="6" t="str"/>
      <x:c r="N71" s="6" t="str">
        <x:v>https://github.com/v5ma/v5ma.github.io/blob/master/vesperfall/CONTINUATION-AUDIT.md</x:v>
      </x:c>
    </x:row>
    <x:row r="72" ht="124" customHeight="1">
      <x:c r="A72" s="6" t="str">
        <x:v>V67</x:v>
      </x:c>
      <x:c r="B72" s="6" t="str">
        <x:v>Cross-browser visuals and controller release matrix</x:v>
      </x:c>
      <x:c r="C72" s="6" t="str">
        <x:v>Planned</x:v>
      </x:c>
      <x:c r="D72" s="6" t="str">
        <x:v>P0</x:v>
      </x:c>
      <x:c r="E72" s="6" t="str">
        <x:v>M5</x:v>
      </x:c>
      <x:c r="F72" s="6" t="str">
        <x:v>Testing</x:v>
      </x:c>
      <x:c r="G72" s="6" t="str">
        <x:v>QA / play research / assignment pending</x:v>
      </x:c>
      <x:c r="H72" s="6" t="str">
        <x:v>V62, V63, V66</x:v>
      </x:c>
      <x:c r="I72" s="6" t="str">
        <x:v>A browser release must be clear about what actually works where.</x:v>
      </x:c>
      <x:c r="J72" s="6" t="str">
        <x:v>Maintain tested desktop Chrome/Edge/Firefox/Safari and target XR-browser configurations where APIs are supported. Unsupported modes explain themselves; all supported essential UI actions pass.</x:v>
      </x:c>
      <x:c r="K72" s="6" t="str">
        <x:v>Not closed; no completion credit without gate evidence.</x:v>
      </x:c>
      <x:c r="L72" s="6" t="str"/>
      <x:c r="M72" s="6" t="str"/>
      <x:c r="N72" s="6" t="str">
        <x:v>https://github.com/v5ma/v5ma.github.io/blob/master/vesperfall/roadmap.json</x:v>
      </x:c>
    </x:row>
    <x:row r="73" ht="190" customHeight="1">
      <x:c r="A73" s="6" t="str">
        <x:v>V68</x:v>
      </x:c>
      <x:c r="B73" s="6" t="str">
        <x:v>Release discipline, reproducible builds and rollback</x:v>
      </x:c>
      <x:c r="C73" s="6" t="str">
        <x:v>Partial</x:v>
      </x:c>
      <x:c r="D73" s="6" t="str">
        <x:v>P0</x:v>
      </x:c>
      <x:c r="E73" s="6" t="str">
        <x:v>M5</x:v>
      </x:c>
      <x:c r="F73" s="6" t="str">
        <x:v>Foundation</x:v>
      </x:c>
      <x:c r="G73" s="6" t="str">
        <x:v>Engineering</x:v>
      </x:c>
      <x:c r="H73" s="6" t="str">
        <x:v>V48, V65</x:v>
      </x:c>
      <x:c r="I73" s="6" t="str">
        <x:v>Do not confuse a merged commit with a complete verified release.</x:v>
      </x:c>
      <x:c r="J73" s="6" t="str">
        <x:v>For every finished upgrade, test the actual scoped source, commit and merge without overwriting sibling games, verify GitHub Pages deployment plus public runtime/asset/plan/workbook bytes, then launch the public game. Separate source, test, deployment, hardware and human evidence. Retry transient GitHub faults with backoff; inspect failed jobs instead of polling an unchanged failure list. Preserve explicit rollback and save-compatibility notes.</x:v>
      </x:c>
      <x:c r="K73" s="6" t="str">
        <x:v>Surestep has a dedicated source/browser acceptance workflow and public byte verification. Final per-run receipts distinguish tested source, merged publication and hardware review. The older failed Tidelight run remains historical evidence and is not retroactively credited.</x:v>
      </x:c>
      <x:c r="L73" s="6" t="str">
        <x:v>tests/verify-live.py
tests/surestep-browser.py
tests/launch.py
SURESTEP.md
CONTINUATION-AUDIT.md</x:v>
      </x:c>
      <x:c r="M73" s="6" t="str"/>
      <x:c r="N73" s="6" t="str">
        <x:v>https://github.com/v5ma/v5ma.github.io/blob/master/vesperfall/tests/verify-live.py</x:v>
      </x:c>
    </x:row>
    <x:row r="74" ht="124" customHeight="1">
      <x:c r="A74" s="6" t="str">
        <x:v>V69</x:v>
      </x:c>
      <x:c r="B74" s="6" t="str">
        <x:v>Complete asset-rights, attribution and content audit</x:v>
      </x:c>
      <x:c r="C74" s="6" t="str">
        <x:v>Planned</x:v>
      </x:c>
      <x:c r="D74" s="6" t="str">
        <x:v>P0</x:v>
      </x:c>
      <x:c r="E74" s="6" t="str">
        <x:v>M5</x:v>
      </x:c>
      <x:c r="F74" s="6" t="str">
        <x:v>Art</x:v>
      </x:c>
      <x:c r="G74" s="6" t="str">
        <x:v>Technical art / assignment pending</x:v>
      </x:c>
      <x:c r="H74" s="6" t="str">
        <x:v>V54, V56, V57</x:v>
      </x:c>
      <x:c r="I74" s="6" t="str">
        <x:v>A production release needs a traceable asset pipeline.</x:v>
      </x:c>
      <x:c r="J74" s="6" t="str">
        <x:v>Every shipped mesh, texture, sound, font usage and narrative element has clear provenance/license and accessible attribution. Do not publish borrowed commercial game assets or private writing.</x:v>
      </x:c>
      <x:c r="K74" s="6" t="str">
        <x:v>Not closed; no completion credit without gate evidence.</x:v>
      </x:c>
      <x:c r="L74" s="6" t="str"/>
      <x:c r="M74" s="6" t="str"/>
      <x:c r="N74" s="6" t="str">
        <x:v>https://github.com/v5ma/v5ma.github.io/blob/master/vesperfall/roadmap.json</x:v>
      </x:c>
    </x:row>
    <x:row r="75" ht="124" customHeight="1">
      <x:c r="A75" s="6" t="str">
        <x:v>V70</x:v>
      </x:c>
      <x:c r="B75" s="6" t="str">
        <x:v>Content-complete campaign and replay challenge tuning</x:v>
      </x:c>
      <x:c r="C75" s="6" t="str">
        <x:v>Planned</x:v>
      </x:c>
      <x:c r="D75" s="6" t="str">
        <x:v>P1</x:v>
      </x:c>
      <x:c r="E75" s="6" t="str">
        <x:v>M5</x:v>
      </x:c>
      <x:c r="F75" s="6" t="str">
        <x:v>World</x:v>
      </x:c>
      <x:c r="G75" s="6" t="str">
        <x:v>Level design / assignment pending</x:v>
      </x:c>
      <x:c r="H75" s="6" t="str">
        <x:v>V53, V56, V64</x:v>
      </x:c>
      <x:c r="I75" s="6" t="str">
        <x:v>Finish and balance the agreed experience before expanding scope again.</x:v>
      </x:c>
      <x:c r="J75" s="6" t="str">
        <x:v>Complete the agreed campaign scope, enemy/loot combinations and endgame variations with no placeholder gates. Measure real play length and review progression fatigue before promising duration.</x:v>
      </x:c>
      <x:c r="K75" s="6" t="str">
        <x:v>Not closed; no completion credit without gate evidence.</x:v>
      </x:c>
      <x:c r="L75" s="6" t="str"/>
      <x:c r="M75" s="6" t="str"/>
      <x:c r="N75" s="6" t="str">
        <x:v>https://github.com/v5ma/v5ma.github.io/blob/master/vesperfall/roadmap.json</x:v>
      </x:c>
    </x:row>
    <x:row r="76" ht="124" customHeight="1">
      <x:c r="A76" s="6" t="str">
        <x:v>V71</x:v>
      </x:c>
      <x:c r="B76" s="6" t="str">
        <x:v>Beta blocking-bug and regression exit gate</x:v>
      </x:c>
      <x:c r="C76" s="6" t="str">
        <x:v>Planned</x:v>
      </x:c>
      <x:c r="D76" s="6" t="str">
        <x:v>P0</x:v>
      </x:c>
      <x:c r="E76" s="6" t="str">
        <x:v>M6</x:v>
      </x:c>
      <x:c r="F76" s="6" t="str">
        <x:v>Testing</x:v>
      </x:c>
      <x:c r="G76" s="6" t="str">
        <x:v>QA / play research / assignment pending</x:v>
      </x:c>
      <x:c r="H76" s="6" t="str">
        <x:v>V66, V67, V68, V70</x:v>
      </x:c>
      <x:c r="I76" s="6" t="str">
        <x:v>A release candidate should be stable, not just feature complete.</x:v>
      </x:c>
      <x:c r="J76" s="6" t="str">
        <x:v>No unresolved save-loss, crash, softlock or input-blocking defects in supported modes. Regressions are replayed on the final build; remaining nonblocking issues are documented.</x:v>
      </x:c>
      <x:c r="K76" s="6" t="str">
        <x:v>Not closed; no completion credit without gate evidence.</x:v>
      </x:c>
      <x:c r="L76" s="6" t="str"/>
      <x:c r="M76" s="6" t="str"/>
      <x:c r="N76" s="6" t="str">
        <x:v>https://github.com/v5ma/v5ma.github.io/blob/master/vesperfall/roadmap.json</x:v>
      </x:c>
    </x:row>
    <x:row r="77" ht="124" customHeight="1">
      <x:c r="A77" s="6" t="str">
        <x:v>V72</x:v>
      </x:c>
      <x:c r="B77" s="6" t="str">
        <x:v>Optional shareable challenges or online services</x:v>
      </x:c>
      <x:c r="C77" s="6" t="str">
        <x:v>Deferred</x:v>
      </x:c>
      <x:c r="D77" s="6" t="str">
        <x:v>P3</x:v>
      </x:c>
      <x:c r="E77" s="6" t="str">
        <x:v>M6</x:v>
      </x:c>
      <x:c r="F77" s="6" t="str">
        <x:v>Online</x:v>
      </x:c>
      <x:c r="G77" s="6" t="str">
        <x:v>Online engineering / assignment pending</x:v>
      </x:c>
      <x:c r="H77" s="6" t="str">
        <x:v>V17, V71</x:v>
      </x:c>
      <x:c r="I77" s="6" t="str">
        <x:v>Protect the local single-player loop from uncontrolled service scope.</x:v>
      </x:c>
      <x:c r="J77" s="6" t="str">
        <x:v>Start only after explicit design/authorization. Define moderation, consent, accounts, persistence, cost and fair-score limits; never quietly add telemetry or payments.</x:v>
      </x:c>
      <x:c r="K77" s="6" t="str">
        <x:v>Not closed; no completion credit without gate evidence.</x:v>
      </x:c>
      <x:c r="L77" s="6" t="str"/>
      <x:c r="M77" s="6" t="str"/>
      <x:c r="N77" s="6" t="str">
        <x:v>https://github.com/v5ma/v5ma.github.io/blob/master/vesperfall/roadmap.json</x:v>
      </x:c>
    </x:row>
    <x:row r="78" ht="124" customHeight="1">
      <x:c r="A78" s="6" t="str">
        <x:v>V73</x:v>
      </x:c>
      <x:c r="B78" s="6" t="str">
        <x:v>Final public launch, support and rollback evidence</x:v>
      </x:c>
      <x:c r="C78" s="6" t="str">
        <x:v>Planned</x:v>
      </x:c>
      <x:c r="D78" s="6" t="str">
        <x:v>P0</x:v>
      </x:c>
      <x:c r="E78" s="6" t="str">
        <x:v>M6</x:v>
      </x:c>
      <x:c r="F78" s="6" t="str">
        <x:v>Testing</x:v>
      </x:c>
      <x:c r="G78" s="6" t="str">
        <x:v>QA / play research / assignment pending</x:v>
      </x:c>
      <x:c r="H78" s="6" t="str">
        <x:v>V59, V62, V64, V69, V71</x:v>
      </x:c>
      <x:c r="I78" s="6" t="str">
        <x:v>A player-facing release is a tested service experience, not a repository label.</x:v>
      </x:c>
      <x:c r="J78" s="6" t="str">
        <x:v>Fresh browser and real headset users can discover/start/continue the game. All public assets match release hashes; QA reports, known issues, controls and support/rollback instructions are published.</x:v>
      </x:c>
      <x:c r="K78" s="6" t="str">
        <x:v>Not closed; no completion credit without gate evidence.</x:v>
      </x:c>
      <x:c r="L78" s="6" t="str"/>
      <x:c r="M78" s="6" t="str"/>
      <x:c r="N78" s="6" t="str">
        <x:v>https://github.com/v5ma/v5ma.github.io/blob/master/vesperfall/roadmap.json</x:v>
      </x:c>
    </x:row>
    <x:row r="79" ht="190" customHeight="1">
      <x:c r="A79" s="6" t="str">
        <x:v>V74</x:v>
      </x:c>
      <x:c r="B79" s="6" t="str">
        <x:v>Technical debt: separate model, input, presentation and lifecycle</x:v>
      </x:c>
      <x:c r="C79" s="6" t="str">
        <x:v>Planned</x:v>
      </x:c>
      <x:c r="D79" s="6" t="str">
        <x:v>P1</x:v>
      </x:c>
      <x:c r="E79" s="6" t="str">
        <x:v>M4</x:v>
      </x:c>
      <x:c r="F79" s="6" t="str">
        <x:v>Foundation</x:v>
      </x:c>
      <x:c r="G79" s="6" t="str">
        <x:v>Engineering / assignment pending</x:v>
      </x:c>
      <x:c r="H79" s="6" t="str">
        <x:v>V15, V48</x:v>
      </x:c>
      <x:c r="I79" s="6" t="str">
        <x:v>Repeated additive patches increase the risk of hidden lifecycle regressions.</x:v>
      </x:c>
      <x:c r="J79" s="6" t="str">
        <x:v>Reduce wrapper-order coupling with explicit lifecycle interfaces and dependency tests; preserve current save fixtures, deterministic physics and controller mappings. Audit current Tidelight: maxRipples is declared by policy but tick uploads all 10 slots; rebuild does not clear ripple timestamps/lastStep; inside() does not match the rendered inset; impact and footstep splash checks omit height. Treat these as source-review findings needing reproductions and tests, not fixes already shipped.</x:v>
      </x:c>
      <x:c r="K79" s="6" t="str">
        <x:v>Not closed; no completion credit without gate evidence.</x:v>
      </x:c>
      <x:c r="L79" s="6" t="str">
        <x:v>tidelight.js
tidelight-shaders.js
CONTINUATION-AUDIT.md</x:v>
      </x:c>
      <x:c r="M79" s="6" t="str"/>
      <x:c r="N79" s="6" t="str">
        <x:v>https://github.com/v5ma/v5ma.github.io/blob/master/vesperfall/tidelight.js</x:v>
      </x:c>
    </x:row>
    <x:row r="80" ht="124" customHeight="1">
      <x:c r="A80" s="6" t="str">
        <x:v>V75</x:v>
      </x:c>
      <x:c r="B80" s="6" t="str">
        <x:v>Checkpoint user lifecycle on physical devices</x:v>
      </x:c>
      <x:c r="C80" s="6" t="str">
        <x:v>Hardware QA</x:v>
      </x:c>
      <x:c r="D80" s="6" t="str">
        <x:v>P0</x:v>
      </x:c>
      <x:c r="E80" s="6" t="str">
        <x:v>M4</x:v>
      </x:c>
      <x:c r="F80" s="6" t="str">
        <x:v>Testing</x:v>
      </x:c>
      <x:c r="G80" s="6" t="str">
        <x:v>QA / play research / assignment pending</x:v>
      </x:c>
      <x:c r="H80" s="6" t="str">
        <x:v>V47</x:v>
      </x:c>
      <x:c r="I80" s="6" t="str">
        <x:v>Native automation covers behavior, not headset suspension and comfort.</x:v>
      </x:c>
      <x:c r="J80" s="6" t="str">
        <x:v>Test headset sleep, browser eviction, offline launch where supported, simultaneous tabs, blocked storage and continued 6.4m-floor saves using real devices. Confirm the paused return is comfortable.</x:v>
      </x:c>
      <x:c r="K80" s="6" t="str">
        <x:v>Not closed; no completion credit without gate evidence.</x:v>
      </x:c>
      <x:c r="L80" s="6" t="str"/>
      <x:c r="M80" s="6" t="str"/>
      <x:c r="N80" s="6" t="str">
        <x:v>https://github.com/v5ma/v5ma.github.io/blob/master/vesperfall/roadmap.json</x:v>
      </x:c>
    </x:row>
    <x:row r="81" ht="124" customHeight="1">
      <x:c r="A81" s="6" t="str">
        <x:v>V76</x:v>
      </x:c>
      <x:c r="B81" s="6" t="str">
        <x:v>First boss and encounter slice end-to-end release</x:v>
      </x:c>
      <x:c r="C81" s="6" t="str">
        <x:v>Partial</x:v>
      </x:c>
      <x:c r="D81" s="6" t="str">
        <x:v>P1</x:v>
      </x:c>
      <x:c r="E81" s="6" t="str">
        <x:v>M2</x:v>
      </x:c>
      <x:c r="F81" s="6" t="str">
        <x:v>Combat</x:v>
      </x:c>
      <x:c r="G81" s="6" t="str">
        <x:v>Gameplay / assignment pending</x:v>
      </x:c>
      <x:c r="H81" s="6" t="str">
        <x:v>V49, V50, V51, V52</x:v>
      </x:c>
      <x:c r="I81" s="6" t="str">
        <x:v>Concentrate production effort on one excellent experience instead of many unfinished systems.</x:v>
      </x:c>
      <x:c r="J81" s="6" t="str">
        <x:v>Publish one complete integrated slice, including onboarding, traversal, encounter pacing, boss payoff and saved continuation; collect human feedback before producing additional bosses.</x:v>
      </x:c>
      <x:c r="K81" s="6" t="str">
        <x:v>First Bell integrates teaching, a scored staged route, three-phase boss and checkpoint continuation in the maintained game. Source/model and native-input checks are distinct from physical hardware and human approval.</x:v>
      </x:c>
      <x:c r="L81" s="6" t="str">
        <x:v>FIRST-BELL.md
tests/first-bell-browser.py
tests/pilgrim.test.cjs</x:v>
      </x:c>
      <x:c r="M81" s="6" t="str">
        <x:v>0.10.0 First Bell</x:v>
      </x:c>
      <x:c r="N81" s="6" t="str">
        <x:v>https://github.com/v5ma/v5ma.github.io/blob/master/vesperfall/FIRST-BELL.md</x:v>
      </x:c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</x:row>
  </x:sheetData>
  <x:mergeCells>
    <x:mergeCell ref="A1:N2"/>
    <x:mergeCell ref="A3:N3"/>
  </x:mergeCells>
  <x:conditionalFormatting sqref="C6:C81">
    <x:cfRule type="expression" dxfId="0" priority="1">
      <x:formula>C6="Implemented"</x:formula>
    </x:cfRule>
    <x:cfRule type="expression" dxfId="1" priority="2">
      <x:formula>C6="Hardware QA"</x:formula>
    </x:cfRule>
    <x:cfRule type="expression" dxfId="2" priority="3">
      <x:formula>C6="Partial"</x:formula>
    </x:cfRule>
    <x:cfRule type="expression" dxfId="3" priority="4">
      <x:formula>C6="Planned"</x:formula>
    </x:cfRule>
  </x:conditionalFormatting>
  <x:conditionalFormatting sqref="D6:D81">
    <x:cfRule type="expression" dxfId="4" priority="5">
      <x:formula>D6="P0"</x:formula>
    </x:cfRule>
  </x:conditionalFormatting>
  <x:dataValidations count="3">
    <x:dataValidation type="list" sqref="C6:C81">
      <x:formula1>"Implemented,Partial,In progress,Planned,Hardware QA,Deferred"</x:formula1>
    </x:dataValidation>
    <x:dataValidation type="list" sqref="D6:D81">
      <x:formula1>"P0,P1,P2,P3"</x:formula1>
    </x:dataValidation>
    <x:dataValidation type="list" sqref="E6:E81">
      <x:formula1>"M0,M1,M2,M3,M4,M5,M6"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469a0f7e5c48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5" hidden="0" customWidth="1"/>
    <x:col min="3" max="3" width="18" hidden="0" customWidth="1"/>
    <x:col min="4" max="4" width="16" hidden="0" customWidth="1"/>
    <x:col min="5" max="5" width="38" hidden="0" customWidth="1"/>
    <x:col min="6" max="6" width="40" hidden="0" customWidth="1"/>
    <x:col min="7" max="7" width="13" hidden="0" customWidth="1"/>
    <x:col min="8" max="8" width="18" hidden="0" customWidth="1"/>
  </x:cols>
  <x:sheetData>
    <x:row r="1" ht="24" customHeight="1">
      <x:c r="A1" s="9" t="str">
        <x:v>SEVEN MILESTONES / EXPLICIT EXIT GATES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Sequence is quality-gated, not a promised calendar. M4 device work may overlap combat and art production. Counts recalculate from the Backlog sheet.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Milestone</x:v>
      </x:c>
      <x:c r="C5" s="15" t="str">
        <x:v>Status</x:v>
      </x:c>
      <x:c r="D5" s="15" t="str">
        <x:v>Prerequisites</x:v>
      </x:c>
      <x:c r="E5" s="15" t="str">
        <x:v>Goal</x:v>
      </x:c>
      <x:c r="F5" s="15" t="str">
        <x:v>Exit gate</x:v>
      </x:c>
      <x:c r="G5" s="15" t="str">
        <x:v>Tasks</x:v>
      </x:c>
      <x:c r="H5" s="15" t="str">
        <x:v>Implemented tasks</x:v>
      </x:c>
    </x:row>
    <x:row r="6" ht="112" customHeight="1">
      <x:c r="A6" s="6" t="str">
        <x:v>M0</x:v>
      </x:c>
      <x:c r="B6" s="6" t="str">
        <x:v>Playable foundations</x:v>
      </x:c>
      <x:c r="C6" s="6" t="str">
        <x:v>Partial</x:v>
      </x:c>
      <x:c r="D6" s="6" t="str">
        <x:v>None</x:v>
      </x:c>
      <x:c r="E6" s="6" t="str">
        <x:v>Retain shipped browser/VR/AR foundations and close the newest water-interface and release-evidence gaps.</x:v>
      </x:c>
      <x:c r="F6" s="6" t="str">
        <x:v>Current foundation and input/model/public deployment tests pass; hardware acceptance is not implied.</x:v>
      </x:c>
      <x:c r="G6" s="18" t="n">
        <x:f>COUNTIF(Backlog!$E$6:$E$81,A6)</x:f>
        <x:v>32</x:v>
      </x:c>
      <x:c r="H6" s="18" t="n">
        <x:f>COUNTIFS(Backlog!$E$6:$E$81,A6,Backlog!$C$6:$C$81,"Implemented")</x:f>
        <x:v>31</x:v>
      </x:c>
    </x:row>
    <x:row r="7" ht="112" customHeight="1">
      <x:c r="A7" s="6" t="str">
        <x:v>M1</x:v>
      </x:c>
      <x:c r="B7" s="6" t="str">
        <x:v>Reliable first-session slice</x:v>
      </x:c>
      <x:c r="C7" s="6" t="str">
        <x:v>In progress</x:v>
      </x:c>
      <x:c r="D7" s="6" t="str">
        <x:v>M0</x:v>
      </x:c>
      <x:c r="E7" s="6" t="str">
        <x:v>Continue safely and teach the physical loop.</x:v>
      </x:c>
      <x:c r="F7" s="6" t="str">
        <x:v>Saved expeditions, recovery, controller-first menus and tested first-ten-minute onboarding are complete.</x:v>
      </x:c>
      <x:c r="G7" s="18" t="n">
        <x:f>COUNTIF(Backlog!$E$6:$E$81,A7)</x:f>
        <x:v>5</x:v>
      </x:c>
      <x:c r="H7" s="18" t="n">
        <x:f>COUNTIFS(Backlog!$E$6:$E$81,A7,Backlog!$C$6:$C$81,"Implemented")</x:f>
        <x:v>3</x:v>
      </x:c>
    </x:row>
    <x:row r="8" ht="112" customHeight="1">
      <x:c r="A8" s="6" t="str">
        <x:v>M2</x:v>
      </x:c>
      <x:c r="B8" s="6" t="str">
        <x:v>Combat mastery slice</x:v>
      </x:c>
      <x:c r="C8" s="6" t="str">
        <x:v>In progress</x:v>
      </x:c>
      <x:c r="D8" s="6" t="str">
        <x:v>M1</x:v>
      </x:c>
      <x:c r="E8" s="6" t="str">
        <x:v>Turn mechanics into a deliberately paced signature adventure.</x:v>
      </x:c>
      <x:c r="F8" s="6" t="str">
        <x:v>Coordinated encounters, authored route grammar, first boss and viable run choices survive native and human playtests.</x:v>
      </x:c>
      <x:c r="G8" s="18" t="n">
        <x:f>COUNTIF(Backlog!$E$6:$E$81,A8)</x:f>
        <x:v>7</x:v>
      </x:c>
      <x:c r="H8" s="18" t="n">
        <x:f>COUNTIFS(Backlog!$E$6:$E$81,A8,Backlog!$C$6:$C$81,"Implemented")</x:f>
        <x:v>0</x:v>
      </x:c>
    </x:row>
    <x:row r="9" ht="112" customHeight="1">
      <x:c r="A9" s="6" t="str">
        <x:v>M3</x:v>
      </x:c>
      <x:c r="B9" s="6" t="str">
        <x:v>Production art and content identity</x:v>
      </x:c>
      <x:c r="C9" s="6" t="str">
        <x:v>Planned</x:v>
      </x:c>
      <x:c r="D9" s="6" t="str">
        <x:v>M2</x:v>
      </x:c>
      <x:c r="E9" s="6" t="str">
        <x:v>Replace unfinished assets and establish distinct places and sound.</x:v>
      </x:c>
      <x:c r="F9" s="6" t="str">
        <x:v>Original rigged foreground/enemy art, animation, three coherent biome kits, public narrative and long-session audio review.</x:v>
      </x:c>
      <x:c r="G9" s="18" t="n">
        <x:f>COUNTIF(Backlog!$E$6:$E$81,A9)</x:f>
        <x:v>7</x:v>
      </x:c>
      <x:c r="H9" s="18" t="n">
        <x:f>COUNTIFS(Backlog!$E$6:$E$81,A9,Backlog!$C$6:$C$81,"Implemented")</x:f>
        <x:v>0</x:v>
      </x:c>
    </x:row>
    <x:row r="10" ht="112" customHeight="1">
      <x:c r="A10" s="6" t="str">
        <x:v>M4</x:v>
      </x:c>
      <x:c r="B10" s="6" t="str">
        <x:v>Target-device performance and access</x:v>
      </x:c>
      <x:c r="C10" s="6" t="str">
        <x:v>Hardware QA</x:v>
      </x:c>
      <x:c r="D10" s="6" t="str">
        <x:v>M1</x:v>
      </x:c>
      <x:c r="E10" s="6" t="str">
        <x:v>Measure and tune the real Quest/Xbox/browser experience.</x:v>
      </x:c>
      <x:c r="F10" s="6" t="str">
        <x:v>Recorded device matrix, sustained frame-time traces, lifecycle tests, accessibility and stable resource use. Work may run alongside M2/M3.</x:v>
      </x:c>
      <x:c r="G10" s="18" t="n">
        <x:f>COUNTIF(Backlog!$E$6:$E$81,A10)</x:f>
        <x:v>11</x:v>
      </x:c>
      <x:c r="H10" s="18" t="n">
        <x:f>COUNTIFS(Backlog!$E$6:$E$81,A10,Backlog!$C$6:$C$81,"Implemented")</x:f>
        <x:v>0</x:v>
      </x:c>
    </x:row>
    <x:row r="11" ht="112" customHeight="1">
      <x:c r="A11" s="6" t="str">
        <x:v>M5</x:v>
      </x:c>
      <x:c r="B11" s="6" t="str">
        <x:v>Content-complete alpha and measured beta</x:v>
      </x:c>
      <x:c r="C11" s="6" t="str">
        <x:v>Planned</x:v>
      </x:c>
      <x:c r="D11" s="6" t="str">
        <x:v>M2, M3, M4</x:v>
      </x:c>
      <x:c r="E11" s="6" t="str">
        <x:v>Finish the agreed scope and test its reliability and appeal.</x:v>
      </x:c>
      <x:c r="F11" s="6" t="str">
        <x:v>Campaign/content completion, save migration, seeded soaks, external playtests, asset audit and cross-browser QA.</x:v>
      </x:c>
      <x:c r="G11" s="18" t="n">
        <x:f>COUNTIF(Backlog!$E$6:$E$81,A11)</x:f>
        <x:v>10</x:v>
      </x:c>
      <x:c r="H11" s="18" t="n">
        <x:f>COUNTIFS(Backlog!$E$6:$E$81,A11,Backlog!$C$6:$C$81,"Implemented")</x:f>
        <x:v>0</x:v>
      </x:c>
    </x:row>
    <x:row r="12" ht="112" customHeight="1">
      <x:c r="A12" s="6" t="str">
        <x:v>M6</x:v>
      </x:c>
      <x:c r="B12" s="6" t="str">
        <x:v>Release candidate and supported launch</x:v>
      </x:c>
      <x:c r="C12" s="6" t="str">
        <x:v>Planned</x:v>
      </x:c>
      <x:c r="D12" s="6" t="str">
        <x:v>M5</x:v>
      </x:c>
      <x:c r="E12" s="6" t="str">
        <x:v>Ship a stable and supportable finished game.</x:v>
      </x:c>
      <x:c r="F12" s="6" t="str">
        <x:v>No blocking defects, final physical acceptance, byte-verified launch, known-issues documentation and rehearsed save-safe rollback.</x:v>
      </x:c>
      <x:c r="G12" s="18" t="n">
        <x:f>COUNTIF(Backlog!$E$6:$E$81,A12)</x:f>
        <x:v>4</x:v>
      </x:c>
      <x:c r="H12" s="18" t="n">
        <x:f>COUNTIFS(Backlog!$E$6:$E$81,A12,Backlog!$C$6:$C$81,"Implemented")</x:f>
        <x:v>0</x:v>
      </x:c>
    </x:row>
    <x:row r="13">
      <x:c r="A13" s="6"/>
      <x:c r="B13" s="6"/>
      <x:c r="C13" s="6"/>
      <x:c r="D13" s="6"/>
      <x:c r="E13" s="6"/>
      <x:c r="F13" s="6"/>
      <x:c r="G13" s="6"/>
      <x:c r="H13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bc2a63471cca4f6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0" hidden="0" customWidth="1"/>
    <x:col min="4" max="4" width="40" hidden="0" customWidth="1"/>
    <x:col min="5" max="5" width="19" hidden="0" customWidth="1"/>
    <x:col min="6" max="6" width="18" hidden="0" customWidth="1"/>
    <x:col min="7" max="7" width="40" hidden="0" customWidth="1"/>
    <x:col min="8" max="8" width="27" hidden="0" customWidth="1"/>
    <x:col min="9" max="9" width="15" hidden="0" customWidth="1"/>
    <x:col min="10" max="10" width="35" hidden="0" customWidth="1"/>
  </x:cols>
  <x:sheetData>
    <x:row r="1" ht="24" customHeight="1">
      <x:c r="A1" s="9" t="str">
        <x:v>DEVICE QA / RECORD THE ACTUAL HARDWARE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36" customHeight="1">
      <x:c r="A3" s="12" t="str">
        <x:v>Targets are proposed planning budgets, not current measurements. Fill build hash, date, versions and results after real device sessions. Software fixtures cannot close these rows.</x:v>
      </x:c>
      <x:c r="B3" s="12"/>
      <x:c r="C3" s="12"/>
      <x:c r="D3" s="12"/>
      <x:c r="E3" s="12"/>
      <x:c r="F3" s="12"/>
      <x:c r="G3" s="12"/>
      <x:c r="H3" s="12"/>
      <x:c r="I3" s="12"/>
      <x:c r="J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34" customHeight="1">
      <x:c r="A5" s="15" t="str">
        <x:v>ID</x:v>
      </x:c>
      <x:c r="B5" s="15" t="str">
        <x:v>Device / mode</x:v>
      </x:c>
      <x:c r="C5" s="15" t="str">
        <x:v>Configuration</x:v>
      </x:c>
      <x:c r="D5" s="15" t="str">
        <x:v>Scenario / acceptance target</x:v>
      </x:c>
      <x:c r="E5" s="15" t="str">
        <x:v>Task references</x:v>
      </x:c>
      <x:c r="F5" s="15" t="str">
        <x:v>Current evidence</x:v>
      </x:c>
      <x:c r="G5" s="15" t="str">
        <x:v>Recording instructions</x:v>
      </x:c>
      <x:c r="H5" s="15" t="str">
        <x:v>Build hash / version</x:v>
      </x:c>
      <x:c r="I5" s="15" t="str">
        <x:v>Test date</x:v>
      </x:c>
      <x:c r="J5" s="15" t="str">
        <x:v>Tester / result</x:v>
      </x:c>
    </x:row>
    <x:row r="6" ht="126" customHeight="1">
      <x:c r="A6" s="6" t="str">
        <x:v>Q01</x:v>
      </x:c>
      <x:c r="B6" s="6" t="str">
        <x:v>Quest 3 / VR</x:v>
      </x:c>
      <x:c r="C6" s="6" t="str">
        <x:v>Both handedness settings</x:v>
      </x:c>
      <x:c r="D6" s="6" t="str">
        <x:v>Draw, cancel, physical/button reload, shield, quiver and pickup pull</x:v>
      </x:c>
      <x:c r="E6" s="6" t="str">
        <x:v>V08,V25,V61</x:v>
      </x:c>
      <x:c r="F6" s="6" t="str">
        <x:v>Not run</x:v>
      </x:c>
      <x:c r="G6" s="6" t="str">
        <x:v>Record headset OS, browser, build hash, reach setting and session notes.</x:v>
      </x:c>
      <x:c r="H6" s="6"/>
      <x:c r="I6" s="20"/>
      <x:c r="J6" s="6"/>
    </x:row>
    <x:row r="7" ht="126" customHeight="1">
      <x:c r="A7" s="6" t="str">
        <x:v>Q02</x:v>
      </x:c>
      <x:c r="B7" s="6" t="str">
        <x:v>Quest 3 / VR</x:v>
      </x:c>
      <x:c r="C7" s="6" t="str">
        <x:v>72 Hz baseline target</x:v>
      </x:c>
      <x:c r="D7" s="6" t="str">
        <x:v>30-minute worst-case combat/route trace; p95 CPU/GPU under 13.89 ms proposed target</x:v>
      </x:c>
      <x:c r="E7" s="6" t="str">
        <x:v>V59,V60</x:v>
      </x:c>
      <x:c r="F7" s="6" t="str">
        <x:v>Not run</x:v>
      </x:c>
      <x:c r="G7" s="6" t="str">
        <x:v>Record actual refresh mode, percentiles, missed frames, memory and heat.</x:v>
      </x:c>
      <x:c r="H7" s="6"/>
      <x:c r="I7" s="20"/>
      <x:c r="J7" s="6"/>
    </x:row>
    <x:row r="8" ht="126" customHeight="1">
      <x:c r="A8" s="6" t="str">
        <x:v>Q03</x:v>
      </x:c>
      <x:c r="B8" s="6" t="str">
        <x:v>Quest 3 / VR</x:v>
      </x:c>
      <x:c r="C8" s="6" t="str">
        <x:v>90 Hz optional target</x:v>
      </x:c>
      <x:c r="D8" s="6" t="str">
        <x:v>Only enable after measured p95 CPU/GPU under 11.11 ms at agreed visual quality</x:v>
      </x:c>
      <x:c r="E8" s="6" t="str">
        <x:v>V59</x:v>
      </x:c>
      <x:c r="F8" s="6" t="str">
        <x:v>Not run</x:v>
      </x:c>
      <x:c r="G8" s="6" t="str">
        <x:v>A software GPU or frame counter is not proof of native refresh.</x:v>
      </x:c>
      <x:c r="H8" s="6"/>
      <x:c r="I8" s="20"/>
      <x:c r="J8" s="6"/>
    </x:row>
    <x:row r="9" ht="126" customHeight="1">
      <x:c r="A9" s="6" t="str">
        <x:v>Q04</x:v>
      </x:c>
      <x:c r="B9" s="6" t="str">
        <x:v>Quest 3 / AR</x:v>
      </x:c>
      <x:c r="C9" s="6" t="str">
        <x:v>Stationary Sanctuary</x:v>
      </x:c>
      <x:c r="D9" s="6" t="str">
        <x:v>Clear space, permission denial, safe stationary controls and expedition restoration</x:v>
      </x:c>
      <x:c r="E9" s="6" t="str">
        <x:v>V42,V62</x:v>
      </x:c>
      <x:c r="F9" s="6" t="str">
        <x:v>Not run</x:v>
      </x:c>
      <x:c r="G9" s="6" t="str">
        <x:v>Record real passthrough visibility; no real-world occlusion claim.</x:v>
      </x:c>
      <x:c r="H9" s="6"/>
      <x:c r="I9" s="20"/>
      <x:c r="J9" s="6"/>
    </x:row>
    <x:row r="10" ht="126" customHeight="1">
      <x:c r="A10" s="6" t="str">
        <x:v>Q05</x:v>
      </x:c>
      <x:c r="B10" s="6" t="str">
        <x:v>Quest 3 / lifecycle</x:v>
      </x:c>
      <x:c r="C10" s="6" t="str">
        <x:v>Sleep / visibility / tracking</x:v>
      </x:c>
      <x:c r="D10" s="6" t="str">
        <x:v>Suspend while drawing, hide/unhide, end session, continue checkpoint and floor alignment</x:v>
      </x:c>
      <x:c r="E10" s="6" t="str">
        <x:v>V75</x:v>
      </x:c>
      <x:c r="F10" s="6" t="str">
        <x:v>Not run</x:v>
      </x:c>
      <x:c r="G10" s="6" t="str">
        <x:v>No stale release, accidental movement or loss of progress.</x:v>
      </x:c>
      <x:c r="H10" s="6"/>
      <x:c r="I10" s="20"/>
      <x:c r="J10" s="6"/>
    </x:row>
    <x:row r="11" ht="126" customHeight="1">
      <x:c r="A11" s="6" t="str">
        <x:v>Q06</x:v>
      </x:c>
      <x:c r="B11" s="6" t="str">
        <x:v>Xbox / desktop</x:v>
      </x:c>
      <x:c r="C11" s="6" t="str">
        <x:v>USB and Bluetooth</x:v>
      </x:c>
      <x:c r="D11" s="6" t="str">
        <x:v>All actions, menus, dialogs, seed entry, save/continue and reconnect during draw</x:v>
      </x:c>
      <x:c r="E11" s="6" t="str">
        <x:v>V10,V41,V62</x:v>
      </x:c>
      <x:c r="F11" s="6" t="str">
        <x:v>Not run</x:v>
      </x:c>
      <x:c r="G11" s="6" t="str">
        <x:v>Record OS, browser and physical controller model/connection.</x:v>
      </x:c>
      <x:c r="H11" s="6"/>
      <x:c r="I11" s="20"/>
      <x:c r="J11" s="6"/>
    </x:row>
    <x:row r="12" ht="126" customHeight="1">
      <x:c r="A12" s="6" t="str">
        <x:v>Q07</x:v>
      </x:c>
      <x:c r="B12" s="6" t="str">
        <x:v>Desktop browsers</x:v>
      </x:c>
      <x:c r="C12" s="6" t="str">
        <x:v>Chrome / Edge / Firefox / Safari</x:v>
      </x:c>
      <x:c r="D12" s="6" t="str">
        <x:v>Supported browser launch, input, audio gesture, save recovery and explicit unsupported XR messages</x:v>
      </x:c>
      <x:c r="E12" s="6" t="str">
        <x:v>V67</x:v>
      </x:c>
      <x:c r="F12" s="6" t="str">
        <x:v>Not run</x:v>
      </x:c>
      <x:c r="G12" s="6" t="str">
        <x:v>Specify actual tested versions; do not assume every browser offers XR.</x:v>
      </x:c>
      <x:c r="H12" s="6"/>
      <x:c r="I12" s="20"/>
      <x:c r="J12" s="6"/>
    </x:row>
    <x:row r="13" ht="126" customHeight="1">
      <x:c r="A13" s="6" t="str">
        <x:v>Q08</x:v>
      </x:c>
      <x:c r="B13" s="6" t="str">
        <x:v>Phone / touch</x:v>
      </x:c>
      <x:c r="C13" s="6" t="str">
        <x:v>Narrow display and orientation</x:v>
      </x:c>
      <x:c r="D13" s="6" t="str">
        <x:v>Launch, touch aim/shoot, UI scrolling, quiver and save continuation</x:v>
      </x:c>
      <x:c r="E13" s="6" t="str">
        <x:v>V10,V67</x:v>
      </x:c>
      <x:c r="F13" s="6" t="str">
        <x:v>Not run</x:v>
      </x:c>
      <x:c r="G13" s="6" t="str">
        <x:v>Record phone/browser, viewport, touch conflicts and readability.</x:v>
      </x:c>
      <x:c r="H13" s="6"/>
      <x:c r="I13" s="20"/>
      <x:c r="J13" s="6"/>
    </x:row>
    <x:row r="14" ht="126" customHeight="1">
      <x:c r="A14" s="6" t="str">
        <x:v>Q09</x:v>
      </x:c>
      <x:c r="B14" s="6" t="str">
        <x:v>Accessibility</x:v>
      </x:c>
      <x:c r="C14" s="6" t="str">
        <x:v>Seated / shorter reach / captions</x:v>
      </x:c>
      <x:c r="D14" s="6" t="str">
        <x:v>Comfort presets, remapping, contrast, reduced effects and non-color warnings</x:v>
      </x:c>
      <x:c r="E14" s="6" t="str">
        <x:v>V61,V63</x:v>
      </x:c>
      <x:c r="F14" s="6" t="str">
        <x:v>Not run</x:v>
      </x:c>
      <x:c r="G14" s="6" t="str">
        <x:v>Recruit users with varied needs; emulation cannot close human review.</x:v>
      </x:c>
      <x:c r="H14" s="6"/>
      <x:c r="I14" s="20"/>
      <x:c r="J14" s="6"/>
    </x:row>
    <x:row r="15" ht="126" customHeight="1">
      <x:c r="A15" s="6" t="str">
        <x:v>Q10</x:v>
      </x:c>
      <x:c r="B15" s="6" t="str">
        <x:v>Persistence</x:v>
      </x:c>
      <x:c r="C15" s="6" t="str">
        <x:v>Quota / corrupt / multi-tab</x:v>
      </x:c>
      <x:c r="D15" s="6" t="str">
        <x:v>Failures are visible, no silent overwrite, explicit recovery and profile retention</x:v>
      </x:c>
      <x:c r="E15" s="6" t="str">
        <x:v>V47,V65,V75</x:v>
      </x:c>
      <x:c r="F15" s="6" t="str">
        <x:v>Software only</x:v>
      </x:c>
      <x:c r="G15" s="6" t="str">
        <x:v>Native software plus unit fault injection; repeat on devices.</x:v>
      </x:c>
      <x:c r="H15" s="6"/>
      <x:c r="I15" s="20"/>
      <x:c r="J15" s="6"/>
    </x:row>
    <x:row r="16" ht="140" customHeight="1">
      <x:c r="A16" s="6" t="str">
        <x:v>Q11</x:v>
      </x:c>
      <x:c r="B16" s="6" t="str">
        <x:v>Quest 3 / Tidelight</x:v>
      </x:c>
      <x:c r="C16" s="6" t="str">
        <x:v>Water and complete spatial settings</x:v>
      </x:c>
      <x:c r="D16" s="6" t="str">
        <x:v>Reach/change/close all water controls; enforce actual ripple/pool budget; verify both eyes, AR exclusion and repeated XR entry/exit</x:v>
      </x:c>
      <x:c r="E16" s="6" t="str">
        <x:v>V38,V41,V62,V74</x:v>
      </x:c>
      <x:c r="F16" s="6" t="str">
        <x:v>Not run</x:v>
      </x:c>
      <x:c r="G16" s="6" t="str">
        <x:v>Record source/build hash and real headset/browser versions. Policy fields alone are not proof that runtime honors the caps.</x:v>
      </x:c>
      <x:c r="H16" s="6"/>
      <x:c r="I16" s="6"/>
      <x:c r="J16" s="6"/>
    </x:row>
    <x:row r="17" ht="140" customHeight="1">
      <x:c r="A17" s="47" t="str">
        <x:v>Q12</x:v>
      </x:c>
      <x:c r="B17" s="47" t="str">
        <x:v>Desktop / water and audio</x:v>
      </x:c>
      <x:c r="C17" s="47" t="str">
        <x:v>Source-to-screen/sound parity</x:v>
      </x:c>
      <x:c r="D17" s="47" t="str">
        <x:v>Seed/depth-specific pools, visible stone, caustics, actual impact/footstep positions and music/water mix; no false claim of reflection/refraction</x:v>
      </x:c>
      <x:c r="E17" s="47" t="str">
        <x:v>V35,V58,V66</x:v>
      </x:c>
      <x:c r="F17" s="47" t="str">
        <x:v>Not run</x:v>
      </x:c>
      <x:c r="G17" s="47" t="str">
        <x:v>Archive actual gameplay screenshots and audio receipts. Recovering a draft does not make its features part of the release.</x:v>
      </x:c>
      <x:c r="H17" s="47"/>
      <x:c r="I17" s="47"/>
      <x:c r="J17" s="47"/>
    </x:row>
  </x:sheetData>
  <x:mergeCells>
    <x:mergeCell ref="A1:J2"/>
    <x:mergeCell ref="A3:J3"/>
  </x:mergeCells>
  <x:dataValidations count="2">
    <x:dataValidation type="list" sqref="F6:F15">
      <x:formula1>"Not run,Software only,Passed on device,Failed on device,Blocked"</x:formula1>
    </x:dataValidation>
    <x:dataValidation type="list" sqref="F6:F17">
      <x:formula1>"Not run,Software only,Pass,Fail,Blocked"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4be00c2b374b7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0" hidden="0" customWidth="1"/>
    <x:col min="4" max="4" width="40" hidden="0" customWidth="1"/>
    <x:col min="5" max="5" width="38" hidden="0" customWidth="1"/>
    <x:col min="6" max="6" width="25" hidden="0" customWidth="1"/>
    <x:col min="7" max="7" width="26" hidden="0" customWidth="1"/>
    <x:col min="8" max="8" width="38" hidden="0" customWidth="1"/>
  </x:cols>
  <x:sheetData>
    <x:row r="1" ht="24" customHeight="1">
      <x:c r="A1" s="9" t="str">
        <x:v>RELEASE GATES / FINISHED MEANS VERIFIED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Every release needs the software/publication gates. A production release also needs real hardware, human experience, rights/content and stability acceptance.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Gate</x:v>
      </x:c>
      <x:c r="C5" s="15" t="str">
        <x:v>Owner role</x:v>
      </x:c>
      <x:c r="D5" s="15" t="str">
        <x:v>Acceptance criterion</x:v>
      </x:c>
      <x:c r="E5" s="15" t="str">
        <x:v>Evidence path</x:v>
      </x:c>
      <x:c r="F5" s="15" t="str">
        <x:v>When required</x:v>
      </x:c>
      <x:c r="G5" s="15" t="str">
        <x:v>Gate category</x:v>
      </x:c>
      <x:c r="H5" s="15" t="str">
        <x:v>Result / evidence receipt</x:v>
      </x:c>
    </x:row>
    <x:row r="6" ht="165" customHeight="1">
      <x:c r="A6" s="6" t="str">
        <x:v>G01</x:v>
      </x:c>
      <x:c r="B6" s="6" t="str">
        <x:v>Scope and source</x:v>
      </x:c>
      <x:c r="C6" s="6" t="str">
        <x:v>Engineering</x:v>
      </x:c>
      <x:c r="D6" s="6" t="str">
        <x:v>Only reviewed game paths change; exact source/build is identified; private story excluded. Canonical roadmap version, release version and core version must agree; the workbook must match every task field and the JSON digest.</x:v>
      </x:c>
      <x:c r="E6" s="6" t="str">
        <x:v>tests and repository diff</x:v>
      </x:c>
      <x:c r="F6" s="6" t="str">
        <x:v>Every release</x:v>
      </x:c>
      <x:c r="G6" s="6" t="str">
        <x:v>Software gate</x:v>
      </x:c>
      <x:c r="H6" s="6"/>
    </x:row>
    <x:row r="7" ht="110" customHeight="1">
      <x:c r="A7" s="6" t="str">
        <x:v>G02</x:v>
      </x:c>
      <x:c r="B7" s="6" t="str">
        <x:v>Deterministic simulation</x:v>
      </x:c>
      <x:c r="C7" s="6" t="str">
        <x:v>Gameplay / QA</x:v>
      </x:c>
      <x:c r="D7" s="6" t="str">
        <x:v>Syntax and all current model suites pass; no tunneling, duplicated rewards or nonfinite state.</x:v>
      </x:c>
      <x:c r="E7" s="6" t="str">
        <x:v>tests/*.test.cjs</x:v>
      </x:c>
      <x:c r="F7" s="6" t="str">
        <x:v>Every release</x:v>
      </x:c>
      <x:c r="G7" s="6" t="str">
        <x:v>Software gate</x:v>
      </x:c>
      <x:c r="H7" s="6"/>
    </x:row>
    <x:row r="8" ht="165" customHeight="1">
      <x:c r="A8" s="6" t="str">
        <x:v>G03</x:v>
      </x:c>
      <x:c r="B8" s="6" t="str">
        <x:v>Controller and UI</x:v>
      </x:c>
      <x:c r="C8" s="6" t="str">
        <x:v>UX / QA</x:v>
      </x:c>
      <x:c r="D8" s="6" t="str">
        <x:v>Native Xbox and stereo-XR fixtures pass; essential actions have no mouse-only dead end. Include Tidelight water controls and both Quest handedness settings; historical menus alone do not close the expanded UI gate.</x:v>
      </x:c>
      <x:c r="E8" s="6" t="str">
        <x:v>tests/dominions-browser.py</x:v>
      </x:c>
      <x:c r="F8" s="6" t="str">
        <x:v>Every release</x:v>
      </x:c>
      <x:c r="G8" s="6" t="str">
        <x:v>Software gate</x:v>
      </x:c>
      <x:c r="H8" s="6"/>
    </x:row>
    <x:row r="9" ht="110" customHeight="1">
      <x:c r="A9" s="6" t="str">
        <x:v>G04</x:v>
      </x:c>
      <x:c r="B9" s="6" t="str">
        <x:v>Save continuity</x:v>
      </x:c>
      <x:c r="C9" s="6" t="str">
        <x:v>Engineering / QA</x:v>
      </x:c>
      <x:c r="D9" s="6" t="str">
        <x:v>Checkpoint reload, partial projectiles/timers, practice/AR isolation, conflict and corrupt-storage recovery pass.</x:v>
      </x:c>
      <x:c r="E9" s="6" t="str">
        <x:v>tests/pilgrim.test.cjs; tests/pilgrim-browser.py</x:v>
      </x:c>
      <x:c r="F9" s="6" t="str">
        <x:v>Every release</x:v>
      </x:c>
      <x:c r="G9" s="6" t="str">
        <x:v>Software gate</x:v>
      </x:c>
      <x:c r="H9" s="6"/>
    </x:row>
    <x:row r="10" ht="165" customHeight="1">
      <x:c r="A10" s="6" t="str">
        <x:v>G05</x:v>
      </x:c>
      <x:c r="B10" s="6" t="str">
        <x:v>Audio and visuals</x:v>
      </x:c>
      <x:c r="C10" s="6" t="str">
        <x:v>Technical art / audio</x:v>
      </x:c>
      <x:c r="D10" s="6" t="str">
        <x:v>Native WebGL and stereo audio checks pass; no script errors, broken asset loads or repeating hidden-tab backlog. Dedicated water render/lifecycle and future water-sound evidence are required; do not substitute release text or a successful Pages build.</x:v>
      </x:c>
      <x:c r="E10" s="6" t="str">
        <x:v>tests/resonant-browser.py; tests/jewelglass-browser.py</x:v>
      </x:c>
      <x:c r="F10" s="6" t="str">
        <x:v>Every release</x:v>
      </x:c>
      <x:c r="G10" s="6" t="str">
        <x:v>Software gate</x:v>
      </x:c>
      <x:c r="H10" s="6"/>
    </x:row>
    <x:row r="11" ht="110" customHeight="1">
      <x:c r="A11" s="6" t="str">
        <x:v>G06</x:v>
      </x:c>
      <x:c r="B11" s="6" t="str">
        <x:v>Actual publication</x:v>
      </x:c>
      <x:c r="C11" s="6" t="str">
        <x:v>Release engineering</x:v>
      </x:c>
      <x:c r="D11" s="6" t="str">
        <x:v>All public runtime/asset/roadmap/workbook bytes match; public homepage launch and relevant live browser checks pass.</x:v>
      </x:c>
      <x:c r="E11" s="6" t="str">
        <x:v>tests/verify-live.py; tests/launch.py</x:v>
      </x:c>
      <x:c r="F11" s="6" t="str">
        <x:v>Every release</x:v>
      </x:c>
      <x:c r="G11" s="6" t="str">
        <x:v>Software gate</x:v>
      </x:c>
      <x:c r="H11" s="6"/>
    </x:row>
    <x:row r="12" ht="110" customHeight="1">
      <x:c r="A12" s="6" t="str">
        <x:v>G07</x:v>
      </x:c>
      <x:c r="B12" s="6" t="str">
        <x:v>Physical hardware</x:v>
      </x:c>
      <x:c r="C12" s="6" t="str">
        <x:v>Device QA</x:v>
      </x:c>
      <x:c r="D12" s="6" t="str">
        <x:v>Supported device scenarios have dated build-specific receipts, including sustained Quest frame-time traces.</x:v>
      </x:c>
      <x:c r="E12" s="6" t="str">
        <x:v>Device QA sheet; V59,V62,V75</x:v>
      </x:c>
      <x:c r="F12" s="6" t="str">
        <x:v>Before production release</x:v>
      </x:c>
      <x:c r="G12" s="6" t="str">
        <x:v>Open hardware gate</x:v>
      </x:c>
      <x:c r="H12" s="6"/>
    </x:row>
    <x:row r="13" ht="110" customHeight="1">
      <x:c r="A13" s="6" t="str">
        <x:v>G08</x:v>
      </x:c>
      <x:c r="B13" s="6" t="str">
        <x:v>Human experience</x:v>
      </x:c>
      <x:c r="C13" s="6" t="str">
        <x:v>Play research</x:v>
      </x:c>
      <x:c r="D13" s="6" t="str">
        <x:v>Onboarding, challenge, fatigue, sound balance and repeat-play feedback are recorded and blocking concerns resolved.</x:v>
      </x:c>
      <x:c r="E13" s="6" t="str">
        <x:v>V16,V58,V64</x:v>
      </x:c>
      <x:c r="F13" s="6" t="str">
        <x:v>Before production release</x:v>
      </x:c>
      <x:c r="G13" s="6" t="str">
        <x:v>Open human gate</x:v>
      </x:c>
      <x:c r="H13" s="6"/>
    </x:row>
    <x:row r="14" ht="110" customHeight="1">
      <x:c r="A14" s="6" t="str">
        <x:v>G09</x:v>
      </x:c>
      <x:c r="B14" s="6" t="str">
        <x:v>Content and rights</x:v>
      </x:c>
      <x:c r="C14" s="6" t="str">
        <x:v>Production</x:v>
      </x:c>
      <x:c r="D14" s="6" t="str">
        <x:v>Agreed scope complete, rights/provenance checked, public-only narrative and no placeholder blocking flow.</x:v>
      </x:c>
      <x:c r="E14" s="6" t="str">
        <x:v>V69,V70</x:v>
      </x:c>
      <x:c r="F14" s="6" t="str">
        <x:v>Before production release</x:v>
      </x:c>
      <x:c r="G14" s="6" t="str">
        <x:v>Open production gate</x:v>
      </x:c>
      <x:c r="H14" s="6"/>
    </x:row>
    <x:row r="15" ht="110" customHeight="1">
      <x:c r="A15" s="6" t="str">
        <x:v>G10</x:v>
      </x:c>
      <x:c r="B15" s="6" t="str">
        <x:v>Release stability</x:v>
      </x:c>
      <x:c r="C15" s="6" t="str">
        <x:v>Release engineering / QA</x:v>
      </x:c>
      <x:c r="D15" s="6" t="str">
        <x:v>No blocking defects; tested rollback preserves supported saves; known issues and support instructions are published.</x:v>
      </x:c>
      <x:c r="E15" s="6" t="str">
        <x:v>V68,V71,V73</x:v>
      </x:c>
      <x:c r="F15" s="6" t="str">
        <x:v>Before production release</x:v>
      </x:c>
      <x:c r="G15" s="6" t="str">
        <x:v>Open production gate</x:v>
      </x:c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488444541fd6446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2" hidden="0" customWidth="1"/>
    <x:col min="4" max="4" width="27" hidden="0" customWidth="1"/>
    <x:col min="5" max="5" width="40" hidden="0" customWidth="1"/>
    <x:col min="6" max="6" width="23" hidden="0" customWidth="1"/>
    <x:col min="7" max="7" width="40" hidden="0" customWidth="1"/>
    <x:col min="8" max="8" width="23" hidden="0" customWidth="1"/>
  </x:cols>
  <x:sheetData>
    <x:row r="1" ht="24" customHeight="1">
      <x:c r="A1" s="9" t="str">
        <x:v>RISK REGISTER / DO NOT HIDE THE GAPS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Risks belong to owner roles to assign. Mitigation is not proof of closure; record real evidence when the risk changes.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Risk</x:v>
      </x:c>
      <x:c r="C5" s="15" t="str">
        <x:v>Severity</x:v>
      </x:c>
      <x:c r="D5" s="15" t="str">
        <x:v>Owner role</x:v>
      </x:c>
      <x:c r="E5" s="15" t="str">
        <x:v>Trigger / evidence gap</x:v>
      </x:c>
      <x:c r="F5" s="15" t="str">
        <x:v>Task references</x:v>
      </x:c>
      <x:c r="G5" s="15" t="str">
        <x:v>Mitigation / next action</x:v>
      </x:c>
      <x:c r="H5" s="15" t="str">
        <x:v>Status</x:v>
      </x:c>
    </x:row>
    <x:row r="6" ht="100" customHeight="1">
      <x:c r="A6" s="6" t="str">
        <x:v>R01</x:v>
      </x:c>
      <x:c r="B6" s="6" t="str">
        <x:v>Device performance is unmeasured</x:v>
      </x:c>
      <x:c r="C6" s="6" t="str">
        <x:v>High</x:v>
      </x:c>
      <x:c r="D6" s="6" t="str">
        <x:v>Physical Quest QA</x:v>
      </x:c>
      <x:c r="E6" s="6" t="str">
        <x:v>Actual native GPU/CPU traces absent</x:v>
      </x:c>
      <x:c r="F6" s="6" t="str">
        <x:v>V59,V60</x:v>
      </x:c>
      <x:c r="G6" s="6" t="str">
        <x:v>Run the device trace before adding more expensive visual effects.</x:v>
      </x:c>
      <x:c r="H6" s="6" t="str">
        <x:v>Open</x:v>
      </x:c>
    </x:row>
    <x:row r="7" ht="100" customHeight="1">
      <x:c r="A7" s="6" t="str">
        <x:v>R02</x:v>
      </x:c>
      <x:c r="B7" s="6" t="str">
        <x:v>Large feature count without a polished signature slice</x:v>
      </x:c>
      <x:c r="C7" s="6" t="str">
        <x:v>High</x:v>
      </x:c>
      <x:c r="D7" s="6" t="str">
        <x:v>Production / level design</x:v>
      </x:c>
      <x:c r="E7" s="6" t="str">
        <x:v>Many procedural rooms do not establish quality</x:v>
      </x:c>
      <x:c r="F7" s="6" t="str">
        <x:v>V49,V50,V51,V52,V76</x:v>
      </x:c>
      <x:c r="G7" s="6" t="str">
        <x:v>Finish one cohesive onboarding-to-boss route before expanding content.</x:v>
      </x:c>
      <x:c r="H7" s="6" t="str">
        <x:v>Open</x:v>
      </x:c>
    </x:row>
    <x:row r="8" ht="100" customHeight="1">
      <x:c r="A8" s="6" t="str">
        <x:v>R03</x:v>
      </x:c>
      <x:c r="B8" s="6" t="str">
        <x:v>Input and lifecycle wrapper coupling</x:v>
      </x:c>
      <x:c r="C8" s="6" t="str">
        <x:v>High</x:v>
      </x:c>
      <x:c r="D8" s="6" t="str">
        <x:v>Engineering</x:v>
      </x:c>
      <x:c r="E8" s="6" t="str">
        <x:v>Several modules wrap the same component methods</x:v>
      </x:c>
      <x:c r="F8" s="6" t="str">
        <x:v>V74</x:v>
      </x:c>
      <x:c r="G8" s="6" t="str">
        <x:v>Refactor explicit lifecycle contracts with preserved regression fixtures.</x:v>
      </x:c>
      <x:c r="H8" s="6" t="str">
        <x:v>Open</x:v>
      </x:c>
    </x:row>
    <x:row r="9" ht="100" customHeight="1">
      <x:c r="A9" s="6" t="str">
        <x:v>R04</x:v>
      </x:c>
      <x:c r="B9" s="6" t="str">
        <x:v>Browser storage eviction and future generator changes</x:v>
      </x:c>
      <x:c r="C9" s="6" t="str">
        <x:v>High</x:v>
      </x:c>
      <x:c r="D9" s="6" t="str">
        <x:v>Engineering / QA</x:v>
      </x:c>
      <x:c r="E9" s="6" t="str">
        <x:v>Local saves are not cloud backup; only current generator supported</x:v>
      </x:c>
      <x:c r="F9" s="6" t="str">
        <x:v>V65,V75</x:v>
      </x:c>
      <x:c r="G9" s="6" t="str">
        <x:v>Publish limitations; add migration/backup fixtures before incompatible changes.</x:v>
      </x:c>
      <x:c r="H9" s="6" t="str">
        <x:v>Open</x:v>
      </x:c>
    </x:row>
    <x:row r="10" ht="100" customHeight="1">
      <x:c r="A10" s="6" t="str">
        <x:v>R05</x:v>
      </x:c>
      <x:c r="B10" s="6" t="str">
        <x:v>Sound fatigue and simultaneous warning overload</x:v>
      </x:c>
      <x:c r="C10" s="6" t="str">
        <x:v>High</x:v>
      </x:c>
      <x:c r="D10" s="6" t="str">
        <x:v>Audio / play research</x:v>
      </x:c>
      <x:c r="E10" s="6" t="str">
        <x:v>Algorithmic limits cannot replace listening sessions</x:v>
      </x:c>
      <x:c r="F10" s="6" t="str">
        <x:v>V58</x:v>
      </x:c>
      <x:c r="G10" s="6" t="str">
        <x:v>Notification density settings plus 30-minute listening feedback.</x:v>
      </x:c>
      <x:c r="H10" s="6" t="str">
        <x:v>Open</x:v>
      </x:c>
    </x:row>
    <x:row r="11" ht="100" customHeight="1">
      <x:c r="A11" s="6" t="str">
        <x:v>R06</x:v>
      </x:c>
      <x:c r="B11" s="6" t="str">
        <x:v>Character asset and animation production capacity</x:v>
      </x:c>
      <x:c r="C11" s="6" t="str">
        <x:v>High</x:v>
      </x:c>
      <x:c r="D11" s="6" t="str">
        <x:v>Art production</x:v>
      </x:c>
      <x:c r="E11" s="6" t="str">
        <x:v>Finished consistent rigged assets are incomplete</x:v>
      </x:c>
      <x:c r="F11" s="6" t="str">
        <x:v>V54,V55</x:v>
      </x:c>
      <x:c r="G11" s="6" t="str">
        <x:v>Define one vertical-slice asset budget and provenance pipeline.</x:v>
      </x:c>
      <x:c r="H11" s="6" t="str">
        <x:v>Open</x:v>
      </x:c>
    </x:row>
    <x:row r="12" ht="145" customHeight="1">
      <x:c r="A12" s="6" t="str">
        <x:v>R07</x:v>
      </x:c>
      <x:c r="B12" s="6" t="str">
        <x:v>Roadmap drift after releases</x:v>
      </x:c>
      <x:c r="C12" s="6" t="str">
        <x:v>Medium</x:v>
      </x:c>
      <x:c r="D12" s="6" t="str">
        <x:v>Production</x:v>
      </x:c>
      <x:c r="E12" s="6" t="str">
        <x:v>At audit: Tidelight 0.12.0 shipped while roadmap/workbook remained 0.11.0; archived full-model run had one version failure.</x:v>
      </x:c>
      <x:c r="F12" s="6" t="str">
        <x:v>V48</x:v>
      </x:c>
      <x:c r="G12" s="6" t="str">
        <x:v>Synchronize canonical plan, workbook and resume docs together; run version/digest tests before publication and preserve the historical failure.</x:v>
      </x:c>
      <x:c r="H12" s="6" t="str">
        <x:v>Open / repair requires release discipline</x:v>
      </x:c>
    </x:row>
    <x:row r="13" ht="100" customHeight="1">
      <x:c r="A13" s="6" t="str">
        <x:v>R08</x:v>
      </x:c>
      <x:c r="B13" s="6" t="str">
        <x:v>Simultaneous-tab races or manual local tampering</x:v>
      </x:c>
      <x:c r="C13" s="6" t="str">
        <x:v>Medium</x:v>
      </x:c>
      <x:c r="D13" s="6" t="str">
        <x:v>Engineering</x:v>
      </x:c>
      <x:c r="E13" s="6" t="str">
        <x:v>Local optimistic checks are not server locks or anti-cheat</x:v>
      </x:c>
      <x:c r="F13" s="6" t="str">
        <x:v>V47,V65</x:v>
      </x:c>
      <x:c r="G13" s="6" t="str">
        <x:v>Pause stale tabs and document local-only integrity; do not claim secure competitive scores.</x:v>
      </x:c>
      <x:c r="H13" s="6" t="str">
        <x:v>Open</x:v>
      </x:c>
    </x:row>
    <x:row r="14" ht="100" customHeight="1">
      <x:c r="A14" s="6" t="str">
        <x:v>R09</x:v>
      </x:c>
      <x:c r="B14" s="6" t="str">
        <x:v>External services create unplanned data and cost obligations</x:v>
      </x:c>
      <x:c r="C14" s="6" t="str">
        <x:v>Medium</x:v>
      </x:c>
      <x:c r="D14" s="6" t="str">
        <x:v>Production</x:v>
      </x:c>
      <x:c r="E14" s="6" t="str">
        <x:v>Accounts/telemetry are outside current scope</x:v>
      </x:c>
      <x:c r="F14" s="6" t="str">
        <x:v>V17,V72</x:v>
      </x:c>
      <x:c r="G14" s="6" t="str">
        <x:v>Keep deferred pending explicit product design and authorization.</x:v>
      </x:c>
      <x:c r="H14" s="6" t="str">
        <x:v>Deferred</x:v>
      </x:c>
    </x:row>
    <x:row r="15" ht="100" customHeight="1">
      <x:c r="A15" s="6" t="str">
        <x:v>R10</x:v>
      </x:c>
      <x:c r="B15" s="6" t="str">
        <x:v>Unsupported claim of AAA completion</x:v>
      </x:c>
      <x:c r="C15" s="6" t="str">
        <x:v>High</x:v>
      </x:c>
      <x:c r="D15" s="6" t="str">
        <x:v>Production</x:v>
      </x:c>
      <x:c r="E15" s="6" t="str">
        <x:v>No budget, staffing or hardware/human finish criteria have been certified</x:v>
      </x:c>
      <x:c r="F15" s="6" t="str">
        <x:v>V48,V73</x:v>
      </x:c>
      <x:c r="G15" s="6" t="str">
        <x:v>Track concrete quality gates; never turn completed task count into an AAA rating.</x:v>
      </x:c>
      <x:c r="H15" s="6" t="str">
        <x:v>Open</x:v>
      </x:c>
    </x:row>
    <x:row r="16" ht="150" customHeight="1">
      <x:c r="A16" s="6" t="str">
        <x:v>R11</x:v>
      </x:c>
      <x:c r="B16" s="6" t="str">
        <x:v>Interrupted draft mistaken for published features</x:v>
      </x:c>
      <x:c r="C16" s="6" t="str">
        <x:v>High</x:v>
      </x:c>
      <x:c r="D16" s="6" t="str">
        <x:v>Production / engineering</x:v>
      </x:c>
      <x:c r="E16" s="6" t="str">
        <x:v>The larger water draft described seven surfaces, named extra areas, basin refraction, reflections and sounds absent from current Tidelight source.</x:v>
      </x:c>
      <x:c r="F16" s="6" t="str">
        <x:v>V35,V58,V68</x:v>
      </x:c>
      <x:c r="G16" s="6" t="str">
        <x:v>Inspect current source first; preserve draft intent as future work and do not replay opaque transfer chunks over master.</x:v>
      </x:c>
      <x:c r="H16" s="6" t="str">
        <x:v>Open</x:v>
      </x:c>
    </x:row>
    <x:row r="17" ht="150" customHeight="1">
      <x:c r="A17" s="47" t="str">
        <x:v>R12</x:v>
      </x:c>
      <x:c r="B17" s="47" t="str">
        <x:v>Water policy/lifecycle implementation differs from its intent</x:v>
      </x:c>
      <x:c r="C17" s="47" t="str">
        <x:v>High</x:v>
      </x:c>
      <x:c r="D17" s="47" t="str">
        <x:v>Engineering / technical art</x:v>
      </x:c>
      <x:c r="E17" s="47" t="str">
        <x:v>Ripple-cap, world-clock reset, footprint and height checks need dedicated tests; water controls missing from XR list.</x:v>
      </x:c>
      <x:c r="F17" s="47" t="str">
        <x:v>V38,V41,V66,V74</x:v>
      </x:c>
      <x:c r="G17" s="47" t="str">
        <x:v>Reproduce each finding and add small save-safe fixes with real-frame and controller evidence.</x:v>
      </x:c>
      <x:c r="H17" s="47" t="str">
        <x:v>Open</x:v>
      </x:c>
    </x:row>
  </x:sheetData>
  <x:mergeCells>
    <x:mergeCell ref="A1:H2"/>
    <x:mergeCell ref="A3:H3"/>
  </x:mergeCells>
  <x:conditionalFormatting sqref="C6:C15">
    <x:cfRule type="expression" dxfId="5" priority="1">
      <x:formula>C6="High"</x:formula>
    </x:cfRule>
  </x:conditionalFormatting>
  <x:dataValidations count="1">
    <x:dataValidation type="list" sqref="C6:C15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43fc5ebe3d4a56"/>
  </x:tableParts>
</x:worksheet>
</file>